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Dashboard" sheetId="1" state="visible" r:id="rId1"/>
    <sheet name="Read_Me" sheetId="2" state="visible" r:id="rId2"/>
    <sheet name="Credit_Decisions" sheetId="3" state="visible" r:id="rId3"/>
    <sheet name="Credit_KPIs" sheetId="4" state="visible" r:id="rId4"/>
    <sheet name="Fixed_Arrears" sheetId="5" state="visible" r:id="rId5"/>
    <sheet name="Collection_Summary" sheetId="6" state="visible" r:id="rId6"/>
    <sheet name="Collection_Employee" sheetId="7" state="visible" r:id="rId7"/>
    <sheet name="Sales" sheetId="8" state="visible" r:id="rId8"/>
    <sheet name="Customer_Care" sheetId="9" state="visible" r:id="rId9"/>
    <sheet name="Chart_Data"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1"/>
    </font>
    <font>
      <name val="Arial"/>
      <charset val="1"/>
      <family val="0"/>
      <b val="1"/>
      <color rgb="FFFFFFFF"/>
      <sz val="11"/>
    </font>
    <font>
      <name val="Arial"/>
      <charset val="1"/>
      <family val="0"/>
      <i val="1"/>
      <color rgb="FF7F6000"/>
      <sz val="9"/>
    </font>
    <font>
      <name val="Arial"/>
      <b val="1"/>
    </font>
    <font>
      <name val="Arial"/>
      <b val="1"/>
      <color rgb="FFC00000"/>
    </font>
    <font>
      <name val="Arial"/>
      <b val="1"/>
      <color rgb="FFFFFFFF"/>
      <sz val="11"/>
    </font>
    <font>
      <name val="Arial"/>
      <i val="1"/>
      <sz val="10"/>
    </font>
    <font>
      <name val="Arial"/>
      <i val="1"/>
      <color rgb="FF808080"/>
      <sz val="10"/>
    </font>
    <font>
      <name val="Arial"/>
      <b val="1"/>
      <sz val="11"/>
    </font>
    <font>
      <name val="Arial"/>
      <b val="1"/>
      <color rgb="FF1F1F1F"/>
      <sz val="20"/>
    </font>
    <font>
      <name val="Arial"/>
      <i val="1"/>
      <color rgb="FF595959"/>
      <sz val="11"/>
    </font>
    <font>
      <name val="Arial"/>
      <b val="1"/>
      <color rgb="FFFFFFFF"/>
      <sz val="18"/>
    </font>
    <font>
      <name val="Arial"/>
      <b val="1"/>
      <color rgb="FFFFFFFF"/>
      <sz val="9"/>
    </font>
    <font>
      <name val="Arial"/>
    </font>
  </fonts>
  <fills count="14">
    <fill>
      <patternFill/>
    </fill>
    <fill>
      <patternFill patternType="gray125"/>
    </fill>
    <fill>
      <patternFill patternType="solid">
        <fgColor rgb="FF1F1F1F"/>
        <bgColor rgb="FF333300"/>
      </patternFill>
    </fill>
    <fill>
      <patternFill patternType="solid">
        <fgColor rgb="FFFFF2CC"/>
        <bgColor rgb="FFFFFFFF"/>
      </patternFill>
    </fill>
    <fill>
      <patternFill patternType="solid">
        <fgColor rgb="FF1F1F1F"/>
      </patternFill>
    </fill>
    <fill>
      <patternFill patternType="solid">
        <fgColor rgb="FFF2DCDB"/>
      </patternFill>
    </fill>
    <fill>
      <patternFill patternType="solid">
        <fgColor rgb="FF1F3864"/>
      </patternFill>
    </fill>
    <fill>
      <patternFill patternType="solid">
        <fgColor rgb="FF2E75B6"/>
      </patternFill>
    </fill>
    <fill>
      <patternFill patternType="solid">
        <fgColor rgb="FF548235"/>
      </patternFill>
    </fill>
    <fill>
      <patternFill patternType="solid">
        <fgColor rgb="FFC55A11"/>
      </patternFill>
    </fill>
    <fill>
      <patternFill patternType="solid">
        <fgColor rgb="FF375623"/>
      </patternFill>
    </fill>
    <fill>
      <patternFill patternType="solid">
        <fgColor rgb="FFC00000"/>
      </patternFill>
    </fill>
    <fill>
      <patternFill patternType="solid">
        <fgColor rgb="FF2F5F8A"/>
      </patternFill>
    </fill>
    <fill>
      <patternFill patternType="solid">
        <fgColor rgb="FF7030A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left" vertical="bottom" wrapText="1"/>
    </xf>
    <xf numFmtId="0" fontId="6" fillId="0" borderId="0" applyAlignment="1" pivotButton="0" quotePrefix="0" xfId="0">
      <alignment horizontal="right" vertical="bottom" wrapText="1"/>
    </xf>
    <xf numFmtId="0" fontId="5" fillId="0" borderId="0" applyAlignment="1" pivotButton="0" quotePrefix="0" xfId="0">
      <alignment horizontal="right" vertical="bottom" wrapText="1"/>
    </xf>
    <xf numFmtId="0" fontId="7" fillId="2" borderId="1" applyAlignment="1" pivotButton="0" quotePrefix="0" xfId="0">
      <alignment horizontal="center" vertical="center"/>
    </xf>
    <xf numFmtId="0" fontId="5" fillId="0" borderId="1" applyAlignment="1" pivotButton="0" quotePrefix="0" xfId="0">
      <alignment horizontal="general" vertical="bottom"/>
    </xf>
    <xf numFmtId="0" fontId="8" fillId="3" borderId="0" applyAlignment="1" pivotButton="0" quotePrefix="0" xfId="0">
      <alignment horizontal="left" vertical="center" wrapText="1"/>
    </xf>
    <xf numFmtId="9" fontId="5" fillId="0" borderId="1" applyAlignment="1" pivotButton="0" quotePrefix="0" xfId="0">
      <alignment horizontal="general" vertical="bottom"/>
    </xf>
    <xf numFmtId="0" fontId="0" fillId="0" borderId="0" pivotButton="0" quotePrefix="0" xfId="0"/>
    <xf numFmtId="0" fontId="15" fillId="0" borderId="0" applyAlignment="1" pivotButton="0" quotePrefix="0" xfId="0">
      <alignment horizontal="center" vertical="center"/>
    </xf>
    <xf numFmtId="0" fontId="16" fillId="0" borderId="0" applyAlignment="1" pivotButton="0" quotePrefix="0" xfId="0">
      <alignment horizontal="center"/>
    </xf>
    <xf numFmtId="3" fontId="17" fillId="6" borderId="0" applyAlignment="1" pivotButton="0" quotePrefix="0" xfId="0">
      <alignment horizontal="center" vertical="center"/>
    </xf>
    <xf numFmtId="3" fontId="17" fillId="7" borderId="0" applyAlignment="1" pivotButton="0" quotePrefix="0" xfId="0">
      <alignment horizontal="center" vertical="center"/>
    </xf>
    <xf numFmtId="3" fontId="17" fillId="8" borderId="0" applyAlignment="1" pivotButton="0" quotePrefix="0" xfId="0">
      <alignment horizontal="center" vertical="center"/>
    </xf>
    <xf numFmtId="3" fontId="17" fillId="9" borderId="0" applyAlignment="1" pivotButton="0" quotePrefix="0" xfId="0">
      <alignment horizontal="center" vertical="center"/>
    </xf>
    <xf numFmtId="3" fontId="17" fillId="10" borderId="0" applyAlignment="1" pivotButton="0" quotePrefix="0" xfId="0">
      <alignment horizontal="center" vertical="center"/>
    </xf>
    <xf numFmtId="3" fontId="17" fillId="11" borderId="0" applyAlignment="1" pivotButton="0" quotePrefix="0" xfId="0">
      <alignment horizontal="center" vertical="center"/>
    </xf>
    <xf numFmtId="3" fontId="17" fillId="12" borderId="0" applyAlignment="1" pivotButton="0" quotePrefix="0" xfId="0">
      <alignment horizontal="center" vertical="center"/>
    </xf>
    <xf numFmtId="3" fontId="17" fillId="13" borderId="0" applyAlignment="1" pivotButton="0" quotePrefix="0" xfId="0">
      <alignment horizontal="center" vertical="center"/>
    </xf>
    <xf numFmtId="0" fontId="18" fillId="6"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8" borderId="0" applyAlignment="1" pivotButton="0" quotePrefix="0" xfId="0">
      <alignment horizontal="center" vertical="center" wrapText="1"/>
    </xf>
    <xf numFmtId="0" fontId="18" fillId="9" borderId="0" applyAlignment="1" pivotButton="0" quotePrefix="0" xfId="0">
      <alignment horizontal="center" vertical="center" wrapText="1"/>
    </xf>
    <xf numFmtId="0" fontId="18" fillId="10" borderId="0" applyAlignment="1" pivotButton="0" quotePrefix="0" xfId="0">
      <alignment horizontal="center" vertical="center" wrapText="1"/>
    </xf>
    <xf numFmtId="0" fontId="18" fillId="11" borderId="0" applyAlignment="1" pivotButton="0" quotePrefix="0" xfId="0">
      <alignment horizontal="center" vertical="center" wrapText="1"/>
    </xf>
    <xf numFmtId="0" fontId="18" fillId="12" borderId="0" applyAlignment="1" pivotButton="0" quotePrefix="0" xfId="0">
      <alignment horizontal="center" vertical="center" wrapText="1"/>
    </xf>
    <xf numFmtId="0" fontId="18" fillId="13" borderId="0" applyAlignment="1" pivotButton="0" quotePrefix="0" xfId="0">
      <alignment horizontal="center" vertical="center" wrapText="1"/>
    </xf>
    <xf numFmtId="0" fontId="0" fillId="0" borderId="0" applyAlignment="1" pivotButton="0" quotePrefix="0" xfId="0">
      <alignment horizontal="general" vertical="bottom"/>
    </xf>
    <xf numFmtId="0" fontId="9" fillId="0" borderId="0" applyAlignment="1" pivotButton="0" quotePrefix="0" xfId="0">
      <alignment vertical="top" wrapText="1"/>
    </xf>
    <xf numFmtId="0" fontId="19" fillId="0" borderId="0" applyAlignment="1" pivotButton="0" quotePrefix="0" xfId="0">
      <alignment vertical="top" wrapText="1"/>
    </xf>
    <xf numFmtId="0" fontId="7" fillId="2" borderId="1" applyAlignment="1" pivotButton="0" quotePrefix="0" xfId="0">
      <alignment horizontal="center" vertical="center"/>
    </xf>
    <xf numFmtId="0" fontId="5" fillId="0" borderId="1" applyAlignment="1" pivotButton="0" quotePrefix="0" xfId="0">
      <alignment horizontal="general" vertical="bottom"/>
    </xf>
    <xf numFmtId="0" fontId="8" fillId="3" borderId="0" applyAlignment="1" pivotButton="0" quotePrefix="0" xfId="0">
      <alignment horizontal="left" vertical="center" wrapText="1"/>
    </xf>
    <xf numFmtId="0" fontId="9" fillId="0" borderId="0" pivotButton="0" quotePrefix="0" xfId="0"/>
    <xf numFmtId="0" fontId="10" fillId="0" borderId="0" applyAlignment="1" pivotButton="0" quotePrefix="0" xfId="0">
      <alignment horizontal="center"/>
    </xf>
    <xf numFmtId="0" fontId="11" fillId="4" borderId="2" applyAlignment="1" pivotButton="0" quotePrefix="0" xfId="0">
      <alignment horizontal="center" vertical="center" wrapText="1"/>
    </xf>
    <xf numFmtId="0" fontId="0" fillId="0" borderId="2" applyAlignment="1" pivotButton="0" quotePrefix="0" xfId="0">
      <alignment horizontal="center"/>
    </xf>
    <xf numFmtId="0" fontId="9" fillId="5" borderId="2" pivotButton="0" quotePrefix="0" xfId="0"/>
    <xf numFmtId="0" fontId="12" fillId="0" borderId="0" applyAlignment="1" pivotButton="0" quotePrefix="0" xfId="0">
      <alignment vertical="top" wrapText="1"/>
    </xf>
    <xf numFmtId="9" fontId="5" fillId="0" borderId="1" applyAlignment="1" pivotButton="0" quotePrefix="0" xfId="0">
      <alignment horizontal="general" vertical="bottom"/>
    </xf>
    <xf numFmtId="0" fontId="13" fillId="0" borderId="0" pivotButton="0" quotePrefix="0" xfId="0"/>
    <xf numFmtId="0" fontId="1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1F1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قرارات الائتمان — آخر يوم (Credit Decisions)</a:t>
            </a:r>
          </a:p>
        </rich>
      </tx>
    </title>
    <plotArea>
      <barChart>
        <barDir val="col"/>
        <grouping val="clustered"/>
        <ser>
          <idx val="0"/>
          <order val="0"/>
          <tx>
            <v>عدد الطلبات</v>
          </tx>
          <spPr>
            <a:ln>
              <a:prstDash val="solid"/>
            </a:ln>
          </spPr>
          <cat>
            <numRef>
              <f>'Chart_Data'!$L$3:$L$19</f>
            </numRef>
          </cat>
          <val>
            <numRef>
              <f>'Chart_Data'!$M$3:$M$19</f>
            </numRef>
          </val>
        </ser>
        <dLbls>
          <showVal val="0"/>
        </dLbls>
        <gapWidth val="6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حالات المبيعات — آخر يوم (Sales Status)</a:t>
            </a:r>
          </a:p>
        </rich>
      </tx>
    </title>
    <plotArea>
      <barChart>
        <barDir val="col"/>
        <grouping val="clustered"/>
        <ser>
          <idx val="0"/>
          <order val="0"/>
          <tx>
            <v>العدد</v>
          </tx>
          <spPr>
            <a:ln>
              <a:prstDash val="solid"/>
            </a:ln>
          </spPr>
          <cat>
            <numRef>
              <f>'Chart_Data'!$P$3:$P$11</f>
            </numRef>
          </cat>
          <val>
            <numRef>
              <f>'Chart_Data'!$Q$3:$Q$11</f>
            </numRef>
          </val>
        </ser>
        <dLbls>
          <showVal val="0"/>
        </dLbls>
        <gapWidth val="6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خدمة العملاء — نشط/مغلق (آخر يوم)</a:t>
            </a:r>
          </a:p>
        </rich>
      </tx>
    </title>
    <plotArea>
      <barChart>
        <barDir val="col"/>
        <grouping val="clustered"/>
        <ser>
          <idx val="0"/>
          <order val="0"/>
          <tx>
            <strRef>
              <f>'Chart_Data'!U2</f>
            </strRef>
          </tx>
          <spPr>
            <a:ln>
              <a:prstDash val="solid"/>
            </a:ln>
          </spPr>
          <cat>
            <numRef>
              <f>'Chart_Data'!$T$3:$T$7</f>
            </numRef>
          </cat>
          <val>
            <numRef>
              <f>'Chart_Data'!$U$3:$U$7</f>
            </numRef>
          </val>
        </ser>
        <ser>
          <idx val="1"/>
          <order val="1"/>
          <tx>
            <strRef>
              <f>'Chart_Data'!V2</f>
            </strRef>
          </tx>
          <spPr>
            <a:ln>
              <a:prstDash val="solid"/>
            </a:ln>
          </spPr>
          <cat>
            <numRef>
              <f>'Chart_Data'!$T$3:$T$7</f>
            </numRef>
          </cat>
          <val>
            <numRef>
              <f>'Chart_Data'!$V$3:$V$7</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التحصيلات حسب البند — آخر فترة (Collection Summary)</a:t>
            </a:r>
          </a:p>
        </rich>
      </tx>
    </title>
    <plotArea>
      <barChart>
        <barDir val="col"/>
        <grouping val="clustered"/>
        <ser>
          <idx val="0"/>
          <order val="0"/>
          <tx>
            <v>المبلغ</v>
          </tx>
          <spPr>
            <a:ln>
              <a:prstDash val="solid"/>
            </a:ln>
          </spPr>
          <cat>
            <numRef>
              <f>'Chart_Data'!$X$3:$X$8</f>
            </numRef>
          </cat>
          <val>
            <numRef>
              <f>'Chart_Data'!$Y$3:$Y$8</f>
            </numRef>
          </val>
        </ser>
        <dLbls>
          <showVal val="0"/>
        </dLbls>
        <gapWidth val="6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2"/>
  <chart>
    <title>
      <tx>
        <rich>
          <a:bodyPr/>
          <a:p>
            <a:pPr>
              <a:defRPr/>
            </a:pPr>
            <a:r>
              <a:t>الاتجاه اليومي — إجمالي التمويل والتحصيلات (Daily Trend)</a:t>
            </a:r>
          </a:p>
        </rich>
      </tx>
    </title>
    <plotArea>
      <lineChart>
        <grouping val="standard"/>
        <ser>
          <idx val="0"/>
          <order val="0"/>
          <tx>
            <strRef>
              <f>'Chart_Data'!B2</f>
            </strRef>
          </tx>
          <spPr>
            <a:ln>
              <a:prstDash val="solid"/>
            </a:ln>
          </spPr>
          <marker>
            <symbol val="none"/>
            <spPr>
              <a:ln>
                <a:prstDash val="solid"/>
              </a:ln>
            </spPr>
          </marker>
          <cat>
            <numRef>
              <f>'Chart_Data'!$A$3:$A$402</f>
            </numRef>
          </cat>
          <val>
            <numRef>
              <f>'Chart_Data'!$B$3:$B$402</f>
            </numRef>
          </val>
          <smooth val="0"/>
        </ser>
        <ser>
          <idx val="1"/>
          <order val="1"/>
          <tx>
            <strRef>
              <f>'Chart_Data'!F2</f>
            </strRef>
          </tx>
          <spPr>
            <a:ln>
              <a:prstDash val="solid"/>
            </a:ln>
          </spPr>
          <marker>
            <symbol val="none"/>
            <spPr>
              <a:ln>
                <a:prstDash val="solid"/>
              </a:ln>
            </spPr>
          </marker>
          <cat>
            <numRef>
              <f>'Chart_Data'!$A$3:$A$402</f>
            </numRef>
          </cat>
          <val>
            <numRef>
              <f>'Chart_Data'!$F$3:$F$402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المتأخرات الثابتة حسب الباكت (Fixed Arrears by Bucket)</a:t>
            </a:r>
          </a:p>
        </rich>
      </tx>
    </title>
    <plotArea>
      <barChart>
        <barDir val="col"/>
        <grouping val="clustered"/>
        <ser>
          <idx val="0"/>
          <order val="0"/>
          <tx>
            <strRef>
              <f>'Fixed_Arrears'!D3</f>
            </strRef>
          </tx>
          <spPr>
            <a:ln>
              <a:prstDash val="solid"/>
            </a:ln>
          </spPr>
          <cat>
            <numRef>
              <f>'Fixed_Arrears'!$A$4:$A$8</f>
            </numRef>
          </cat>
          <val>
            <numRef>
              <f>'Fixed_Arrears'!$D$4:$D$8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9</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26</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26</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43</row>
      <rowOff>0</rowOff>
    </from>
    <ext cx="11880000" cy="288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60</row>
      <rowOff>0</rowOff>
    </from>
    <ext cx="5760000" cy="2880000"/>
    <graphicFrame>
      <nvGraphicFramePr>
        <cNvPr id="6" name="Chart 6"/>
        <cNvGraphicFramePr/>
      </nvGraphicFramePr>
      <xfrm/>
      <a:graphic>
        <a:graphicData uri="http://schemas.openxmlformats.org/drawingml/2006/chart">
          <c:chart r:id="rId6"/>
        </a:graphicData>
      </a:graphic>
    </graphicFrame>
    <clientData/>
  </oneCellAnchor>
</wsDr>
</file>

<file path=xl/tables/table1.xml><?xml version="1.0" encoding="utf-8"?>
<table xmlns="http://schemas.openxmlformats.org/spreadsheetml/2006/main" id="1" name="Credit_Decisions_Tbl" displayName="Credit_Decisions_Tbl" ref="A1:D18" headerRowCount="1" totalsRowCount="0" totalsRowShown="0">
  <autoFilter ref="A1:D18"/>
  <tableColumns count="4">
    <tableColumn id="1" name="Date - التاريخ"/>
    <tableColumn id="2" name="Credit Decision - قرار الائتمان"/>
    <tableColumn id="3" name="Number of Requests - عدد الطلبات"/>
    <tableColumn id="4" name="Amounts - المبالغ"/>
  </tableColumns>
</table>
</file>

<file path=xl/tables/table2.xml><?xml version="1.0" encoding="utf-8"?>
<table xmlns="http://schemas.openxmlformats.org/spreadsheetml/2006/main" id="2" name="Credit_KPIs_Tbl" displayName="Credit_KPIs_Tbl" ref="A1:E2" headerRowCount="1" totalsRowCount="0" totalsRowShown="0">
  <autoFilter ref="A1:E2"/>
  <tableColumns count="5">
    <tableColumn id="1" name="Date - التاريخ"/>
    <tableColumn id="2" name="Today Financing Amount"/>
    <tableColumn id="3" name="Total Financing Amount"/>
    <tableColumn id="4" name="Total Number Contracts"/>
    <tableColumn id="5" name="Cancelled"/>
  </tableColumns>
</table>
</file>

<file path=xl/tables/table3.xml><?xml version="1.0" encoding="utf-8"?>
<table xmlns="http://schemas.openxmlformats.org/spreadsheetml/2006/main" id="3" name="Fixed_Arrears_Tbl" displayName="Fixed_Arrears_Tbl" ref="A3:D8" headerRowCount="1">
  <autoFilter ref="A3:D8"/>
  <tableColumns count="4">
    <tableColumn id="1" name="Bucket - البوكت"/>
    <tableColumn id="2" name="Description - الوصف"/>
    <tableColumn id="3" name="Number of Customers - عدد العملاء"/>
    <tableColumn id="4" name="Overdue Amount - مبلغ المتأخرات"/>
  </tableColumns>
  <tableStyleInfo name="TableStyleMedium2" showRowStripes="1"/>
</table>
</file>

<file path=xl/tables/table4.xml><?xml version="1.0" encoding="utf-8"?>
<table xmlns="http://schemas.openxmlformats.org/spreadsheetml/2006/main" id="4" name="Collection_Summary_Tbl" displayName="Collection_Summary_Tbl" ref="A1:D7" headerRowCount="1" totalsRowCount="0" totalsRowShown="0">
  <autoFilter ref="A1:D7"/>
  <tableColumns count="4">
    <tableColumn id="1" name="Date From - من"/>
    <tableColumn id="2" name="Date To - الى"/>
    <tableColumn id="3" name="Item - البند"/>
    <tableColumn id="4" name="Amount - المبلغ"/>
  </tableColumns>
</table>
</file>

<file path=xl/tables/table5.xml><?xml version="1.0" encoding="utf-8"?>
<table xmlns="http://schemas.openxmlformats.org/spreadsheetml/2006/main" id="5" name="Collection_Employee_Tbl" displayName="Collection_Employee_Tbl" ref="A1:J6" headerRowCount="1" totalsRowCount="0" totalsRowShown="0">
  <autoFilter ref="A1:J6"/>
  <tableColumns count="10">
    <tableColumn id="1" name="Date - التاريخ"/>
    <tableColumn id="2" name="Employee Name - اسم الموظف"/>
    <tableColumn id="3" name="Bucket - البوكت"/>
    <tableColumn id="4" name="Target % - نسبة التارقت"/>
    <tableColumn id="5" name="Target - التارقت"/>
    <tableColumn id="6" name="Payment - السداد"/>
    <tableColumn id="7" name="Negotiations - المناحرات"/>
    <tableColumn id="8" name="Target Amount - مبلغ المستهدف"/>
    <tableColumn id="9" name="Number of Customers - عدد العملاء"/>
    <tableColumn id="10" name="Number Handled - عدد المعالجه"/>
  </tableColumns>
</table>
</file>

<file path=xl/tables/table6.xml><?xml version="1.0" encoding="utf-8"?>
<table xmlns="http://schemas.openxmlformats.org/spreadsheetml/2006/main" id="6" name="Sales_Tbl" displayName="Sales_Tbl" ref="A1:D10" headerRowCount="1" totalsRowCount="0" totalsRowShown="0">
  <autoFilter ref="A1:D10"/>
  <tableColumns count="4">
    <tableColumn id="1" name="Date - التاريخ"/>
    <tableColumn id="2" name="Status - الحالة"/>
    <tableColumn id="3" name="Count - العدد"/>
    <tableColumn id="4" name="Amounts - المبالغ"/>
  </tableColumns>
</table>
</file>

<file path=xl/tables/table7.xml><?xml version="1.0" encoding="utf-8"?>
<table xmlns="http://schemas.openxmlformats.org/spreadsheetml/2006/main" id="7" name="Customer_Care_Tbl" displayName="Customer_Care_Tbl" ref="A1:D6" headerRowCount="1" totalsRowCount="0" totalsRowShown="0">
  <autoFilter ref="A1:D6"/>
  <tableColumns count="4">
    <tableColumn id="1" name="Date - التاريخ"/>
    <tableColumn id="2" name="Parameter - المعيار"/>
    <tableColumn id="3" name="Active - نشط"/>
    <tableColumn id="4" name="Close - مغلق"/>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tabColor rgb="FF1F1F1F"/>
    <outlinePr summaryBelow="1" summaryRight="1"/>
    <pageSetUpPr/>
  </sheetPr>
  <dimension ref="B2:I6"/>
  <sheetViews>
    <sheetView showGridLines="0" rightToLeft="1" workbookViewId="0">
      <selection activeCell="A1" sqref="A1"/>
    </sheetView>
  </sheetViews>
  <sheetFormatPr baseColWidth="8" defaultRowHeight="15"/>
  <cols>
    <col width="3" customWidth="1" style="9" min="1" max="1"/>
    <col width="20" customWidth="1" style="9" min="2" max="2"/>
    <col width="20" customWidth="1" style="9" min="3" max="3"/>
    <col width="20" customWidth="1" style="9" min="4" max="4"/>
    <col width="20" customWidth="1" style="9" min="5" max="5"/>
    <col width="20" customWidth="1" style="9" min="6" max="6"/>
    <col width="20" customWidth="1" style="9" min="7" max="7"/>
    <col width="20" customWidth="1" style="9" min="8" max="8"/>
    <col width="20" customWidth="1" style="9" min="9" max="9"/>
  </cols>
  <sheetData>
    <row r="2" ht="34" customHeight="1" s="9">
      <c r="B2" s="10" t="inlineStr">
        <is>
          <t>Departments Dashboard — لوحة معلومات الأقسام</t>
        </is>
      </c>
    </row>
    <row r="3" ht="20" customHeight="1" s="9">
      <c r="B3" s="11">
        <f>"آخر تحديث بالبيانات: " &amp; TEXT(MAX(Credit_Decisions_Tbl[Date - التاريخ],Credit_KPIs_Tbl[Date - التاريخ],Collection_Employee_Tbl[Date - التاريخ],Sales_Tbl[Date - التاريخ],Customer_Care_Tbl[Date - التاريخ],Collection_Summary_Tbl[Date To - الى]),"yyyy-mm-dd") &amp; "  |  يُحدَّث تلقائيًا فور إضافة بيانات جديدة في تبويبات الأقسام"</f>
        <v/>
      </c>
    </row>
    <row r="5" ht="40" customHeight="1" s="9">
      <c r="B5" s="12">
        <f>IFERROR(INDEX(Credit_KPIs_Tbl[Total Financing Amount],MATCH(MAX(Credit_KPIs_Tbl[Date - التاريخ]),Credit_KPIs_Tbl[Date - التاريخ],0)),0)</f>
        <v/>
      </c>
      <c r="C5" s="13">
        <f>IFERROR(INDEX(Credit_KPIs_Tbl[Today Financing Amount],MATCH(MAX(Credit_KPIs_Tbl[Date - التاريخ]),Credit_KPIs_Tbl[Date - التاريخ],0)),0)</f>
        <v/>
      </c>
      <c r="D5" s="14">
        <f>IFERROR(INDEX(Credit_KPIs_Tbl[Total Number Contracts],MATCH(MAX(Credit_KPIs_Tbl[Date - التاريخ]),Credit_KPIs_Tbl[Date - التاريخ],0)),0)</f>
        <v/>
      </c>
      <c r="E5" s="15">
        <f>IFERROR(INDEX(Credit_KPIs_Tbl[Cancelled],MATCH(MAX(Credit_KPIs_Tbl[Date - التاريخ]),Credit_KPIs_Tbl[Date - التاريخ],0)),0)</f>
        <v/>
      </c>
      <c r="F5" s="16">
        <f>SUMIFS(Collection_Summary_Tbl[Amount - المبلغ],Collection_Summary_Tbl[Item - البند],"الاجمالي",Collection_Summary_Tbl[Date To - الى],MAX(Collection_Summary_Tbl[Date To - الى]))</f>
        <v/>
      </c>
      <c r="G5" s="17">
        <f>'Fixed_Arrears'!D10</f>
        <v/>
      </c>
      <c r="H5" s="18">
        <f>SUMIFS(Sales_Tbl[Count - العدد],Sales_Tbl[Status - الحالة],"Accepted - تم التنفيذ",Sales_Tbl[Date - التاريخ],MAX(Sales_Tbl[Date - التاريخ]))</f>
        <v/>
      </c>
      <c r="I5" s="19">
        <f>SUMIFS(Customer_Care_Tbl[Active - نشط],Customer_Care_Tbl[Date - التاريخ],MAX(Customer_Care_Tbl[Date - التاريخ]))</f>
        <v/>
      </c>
    </row>
    <row r="6" ht="34" customHeight="1" s="9">
      <c r="B6" s="20" t="inlineStr">
        <is>
          <t>إجمالي مبلغ التمويل
Total Financing Amount</t>
        </is>
      </c>
      <c r="C6" s="21" t="inlineStr">
        <is>
          <t>تمويل اليوم
Today Financing Amount</t>
        </is>
      </c>
      <c r="D6" s="22" t="inlineStr">
        <is>
          <t>إجمالي العقود
Total Contracts</t>
        </is>
      </c>
      <c r="E6" s="23" t="inlineStr">
        <is>
          <t>الملغى
Cancelled</t>
        </is>
      </c>
      <c r="F6" s="24" t="inlineStr">
        <is>
          <t>إجمالي التحصيلات (آخر فترة)
Total Collections</t>
        </is>
      </c>
      <c r="G6" s="25" t="inlineStr">
        <is>
          <t>إجمالي المتأخرات الثابتة
Fixed Arrears Total</t>
        </is>
      </c>
      <c r="H6" s="26" t="inlineStr">
        <is>
          <t>مبيعات مقبولة اليوم
Sales Accepted (latest day)</t>
        </is>
      </c>
      <c r="I6" s="27" t="inlineStr">
        <is>
          <t>شكاوى نشطة اليوم
Customer Care Active (latest day)</t>
        </is>
      </c>
    </row>
  </sheetData>
  <mergeCells count="10">
    <mergeCell ref="H5"/>
    <mergeCell ref="I5"/>
    <mergeCell ref="B2:I2"/>
    <mergeCell ref="D5"/>
    <mergeCell ref="B3:I3"/>
    <mergeCell ref="B5"/>
    <mergeCell ref="F5"/>
    <mergeCell ref="C5"/>
    <mergeCell ref="G5"/>
    <mergeCell ref="E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A31"/>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8" min="1" max="1"/>
  </cols>
  <sheetData>
    <row r="1" ht="17.35" customHeight="1" s="9">
      <c r="A1" s="29" t="inlineStr">
        <is>
          <t>Departments Dashboard — لوحة معلومات الأقسام (مربوطة تلقائيًا)</t>
        </is>
      </c>
    </row>
    <row r="2" ht="15" customHeight="1" s="9">
      <c r="A2" s="30" t="n"/>
    </row>
    <row r="3" ht="15" customHeight="1" s="9">
      <c r="A3" s="30" t="inlineStr">
        <is>
          <t>لماذا تغيّر شكل الملف:</t>
        </is>
      </c>
    </row>
    <row r="4" ht="15" customHeight="1" s="9">
      <c r="A4" s="30" t="inlineStr">
        <is>
          <t>• كل جدول أصبح في تبويبة/جدول منفصل (Format as Table) — بدون دمج جدولين ببعض في نفس الشيت.</t>
        </is>
      </c>
    </row>
    <row r="5" ht="15" customHeight="1" s="9">
      <c r="A5" s="30" t="inlineStr">
        <is>
          <t>• أضفنا عمود 'التاريخ' لكل جدول بيانات يومية — هذا ضروري عشان Power BI يبني تاريخ زمني (trend).</t>
        </is>
      </c>
    </row>
    <row r="6" ht="15" customHeight="1" s="9">
      <c r="A6" s="30" t="inlineStr">
        <is>
          <t>• العناوين المدمجة (مثل 'من ... الى ...') تحولت لأعمدة تاريخ حقيقية.</t>
        </is>
      </c>
    </row>
    <row r="7" ht="15" customHeight="1" s="9">
      <c r="A7" s="30" t="inlineStr">
        <is>
          <t>• أضفنا تبويب 'Dashboard' يسحب كل أرقامه بصيغ (SUMIFS / INDEX-MATCH) من جداول الأقسام — لا تكتبين فيه أي رقم يدويًا.</t>
        </is>
      </c>
    </row>
    <row r="8" ht="15" customHeight="1" s="9">
      <c r="A8" s="30" t="inlineStr">
        <is>
          <t>• أضفنا تبويب 'Fixed_Arrears' لأرصدة المتأخرات — جدول ثابت يُحدَّث يدويًا (وليس يوميًا) عند توفر رصيد جديد.</t>
        </is>
      </c>
    </row>
    <row r="9" ht="15" customHeight="1" s="9">
      <c r="A9" s="30" t="inlineStr">
        <is>
          <t>• أضفنا تبويب 'Chart_Data' — ورقة حسابات مساعدة تغذي رسوم Dashboard تلقائيًا.</t>
        </is>
      </c>
    </row>
    <row r="10" ht="15" customHeight="1" s="9">
      <c r="A10" s="30" t="n"/>
    </row>
    <row r="11" ht="15" customHeight="1" s="9">
      <c r="A11" s="30" t="inlineStr">
        <is>
          <t>قاعدة العمل اليومية:</t>
        </is>
      </c>
    </row>
    <row r="12" ht="15" customHeight="1" s="9">
      <c r="A12" s="30" t="inlineStr">
        <is>
          <t>• كل يوم: افتحي التبويب المناسب (Credit_Decisions, Credit_KPIs, Sales...) وضيفي صفوف جديدة بتاريخ اليوم (Append) — لا تكتبين فوق صفوف الأمس.</t>
        </is>
      </c>
    </row>
    <row r="13" ht="15" customHeight="1" s="9">
      <c r="A13" s="30" t="inlineStr">
        <is>
          <t>• الجداول معرّفة كـ Excel Tables، فلما تضيفين صف جديد تحت آخر صف، الجدول يتوسع تلقائيًا وتتحدث كل صيغ Dashboard معه.</t>
        </is>
      </c>
    </row>
    <row r="14" ht="15" customHeight="1" s="9">
      <c r="A14" s="30" t="inlineStr">
        <is>
          <t>• لا تلمسين تبويب Dashboard ولا Chart_Data — يتحدثان تلقائيًا بمجرد إضافة بيانات وحفظ الملف (Excel يحسب تلقائيًا عند الفتح).</t>
        </is>
      </c>
    </row>
    <row r="15" ht="15" customHeight="1" s="9">
      <c r="A15" s="30" t="inlineStr">
        <is>
          <t>• تبويب Fixed_Arrears استثناء: حدّثيه فقط عند تغيّر رصيد المتأخرات الفعلي (مثلاً أسبوعيًا/شهريًا)، وليس يوميًا.</t>
        </is>
      </c>
    </row>
    <row r="16" ht="15" customHeight="1" s="9">
      <c r="A16" s="30" t="n"/>
    </row>
    <row r="17" ht="15" customHeight="1" s="9">
      <c r="A17" s="30" t="inlineStr">
        <is>
          <t>الخطوة التالية في Power BI (اختياري):</t>
        </is>
      </c>
    </row>
    <row r="18" ht="15" customHeight="1" s="9">
      <c r="A18" s="30" t="inlineStr">
        <is>
          <t>1) احفظي الملف في مجلد OneDrive/SharePoint ثابت (مو Downloads) عشان الـ Refresh يشتغل تلقائي.</t>
        </is>
      </c>
    </row>
    <row r="19" ht="15" customHeight="1" s="9">
      <c r="A19" s="30" t="inlineStr">
        <is>
          <t>2) Get Data &gt; Excel Workbook &gt; اختاري كل Table (مو Sheet) من الملف.</t>
        </is>
      </c>
    </row>
    <row r="20" ht="15" customHeight="1" s="9">
      <c r="A20" s="30" t="inlineStr">
        <is>
          <t>3) فعّلي Scheduled Refresh (يومي) من Power BI Service بعد النشر.</t>
        </is>
      </c>
    </row>
    <row r="21" ht="15" customHeight="1" s="9">
      <c r="A21" s="30" t="n"/>
    </row>
    <row r="22" ht="15" customHeight="1" s="9">
      <c r="A22" s="30" t="inlineStr">
        <is>
          <t>التبويبات:</t>
        </is>
      </c>
    </row>
    <row r="23" ht="15" customHeight="1" s="9">
      <c r="A23" s="30" t="inlineStr">
        <is>
          <t>• Dashboard — بطاقات KPI ورسوم بيانية، مربوطة تلقائيًا بجميع الجداول</t>
        </is>
      </c>
    </row>
    <row r="24">
      <c r="A24" s="30" t="inlineStr">
        <is>
          <t>• Credit_Decisions — قرارات الائتمان حسب النوع (سطر لكل قرار لكل يوم)</t>
        </is>
      </c>
    </row>
    <row r="25">
      <c r="A25" s="30" t="inlineStr">
        <is>
          <t>• Credit_KPIs — إجماليات المحفظة اليومية (سطر واحد لكل يوم)</t>
        </is>
      </c>
    </row>
    <row r="26">
      <c r="A26" s="30" t="inlineStr">
        <is>
          <t>• Fixed_Arrears — أرصدة المتأخرات الثابتة (تحديث يدوي عند الحاجة فقط)</t>
        </is>
      </c>
    </row>
    <row r="27">
      <c r="A27" s="30" t="inlineStr">
        <is>
          <t>• Collection_Summary — إجمالي التحصيلات حسب البند</t>
        </is>
      </c>
    </row>
    <row r="28">
      <c r="A28" s="30" t="inlineStr">
        <is>
          <t>• Collection_Employee — أداء التحصيل حسب الموظف/الباكت</t>
        </is>
      </c>
    </row>
    <row r="29">
      <c r="A29" s="30" t="inlineStr">
        <is>
          <t>• Sales — حالات المبيعات</t>
        </is>
      </c>
    </row>
    <row r="30">
      <c r="A30" s="30" t="inlineStr">
        <is>
          <t>• Customer_Care — شكاوى وتذاكر خدمة العملاء</t>
        </is>
      </c>
    </row>
    <row r="31">
      <c r="A31" s="30" t="inlineStr">
        <is>
          <t>• Chart_Data — حسابات مساعدة لرسوم Dashboard (لا تُعدَّل يدويًا)</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8" min="1" max="1"/>
    <col width="34" customWidth="1" style="28" min="2" max="2"/>
    <col width="22" customWidth="1" style="28" min="3" max="3"/>
    <col width="16" customWidth="1" style="28" min="4" max="4"/>
  </cols>
  <sheetData>
    <row r="1" ht="14.15" customHeight="1" s="9">
      <c r="A1" s="31" t="inlineStr">
        <is>
          <t>Date - التاريخ</t>
        </is>
      </c>
      <c r="B1" s="31" t="inlineStr">
        <is>
          <t>Credit Decision - قرار الائتمان</t>
        </is>
      </c>
      <c r="C1" s="31" t="inlineStr">
        <is>
          <t>Number of Requests - عدد الطلبات</t>
        </is>
      </c>
      <c r="D1" s="31" t="inlineStr">
        <is>
          <t>Amounts - المبالغ</t>
        </is>
      </c>
    </row>
    <row r="2" ht="15" customHeight="1" s="9">
      <c r="A2" s="32" t="inlineStr">
        <is>
          <t>2026-09-01</t>
        </is>
      </c>
      <c r="B2" s="32" t="inlineStr">
        <is>
          <t>Approval</t>
        </is>
      </c>
      <c r="C2" s="32" t="n">
        <v>0</v>
      </c>
      <c r="D2" s="32" t="n">
        <v>0</v>
      </c>
    </row>
    <row r="3" ht="15" customHeight="1" s="9">
      <c r="A3" s="32" t="inlineStr">
        <is>
          <t>2026-09-01</t>
        </is>
      </c>
      <c r="B3" s="32" t="inlineStr">
        <is>
          <t>In progress</t>
        </is>
      </c>
      <c r="C3" s="32" t="n">
        <v>0</v>
      </c>
      <c r="D3" s="32" t="n">
        <v>0</v>
      </c>
    </row>
    <row r="4" ht="15" customHeight="1" s="9">
      <c r="A4" s="32" t="inlineStr">
        <is>
          <t>2026-09-01</t>
        </is>
      </c>
      <c r="B4" s="32" t="inlineStr">
        <is>
          <t>Review with IT</t>
        </is>
      </c>
      <c r="C4" s="32" t="n">
        <v>0</v>
      </c>
      <c r="D4" s="32" t="n">
        <v>0</v>
      </c>
    </row>
    <row r="5" ht="15" customHeight="1" s="9">
      <c r="A5" s="32" t="inlineStr">
        <is>
          <t>2026-09-01</t>
        </is>
      </c>
      <c r="B5" s="32" t="inlineStr">
        <is>
          <t>High DBR</t>
        </is>
      </c>
      <c r="C5" s="32" t="n">
        <v>0</v>
      </c>
      <c r="D5" s="32" t="n">
        <v>0</v>
      </c>
    </row>
    <row r="6" ht="15" customHeight="1" s="9">
      <c r="A6" s="32" t="inlineStr">
        <is>
          <t>2026-09-01</t>
        </is>
      </c>
      <c r="B6" s="32" t="inlineStr">
        <is>
          <t>Salary less minimum</t>
        </is>
      </c>
      <c r="C6" s="32" t="n">
        <v>0</v>
      </c>
      <c r="D6" s="32" t="n">
        <v>0</v>
      </c>
    </row>
    <row r="7" ht="15" customHeight="1" s="9">
      <c r="A7" s="32" t="inlineStr">
        <is>
          <t>2026-09-01</t>
        </is>
      </c>
      <c r="B7" s="32" t="inlineStr">
        <is>
          <t>Reject (Policy Nationality)</t>
        </is>
      </c>
      <c r="C7" s="32" t="n">
        <v>0</v>
      </c>
      <c r="D7" s="32" t="n">
        <v>0</v>
      </c>
    </row>
    <row r="8" ht="15" customHeight="1" s="9">
      <c r="A8" s="32" t="inlineStr">
        <is>
          <t>2026-09-01</t>
        </is>
      </c>
      <c r="B8" s="32" t="inlineStr">
        <is>
          <t>Reject DPD</t>
        </is>
      </c>
      <c r="C8" s="32" t="n">
        <v>0</v>
      </c>
      <c r="D8" s="32" t="n">
        <v>0</v>
      </c>
    </row>
    <row r="9" ht="15" customHeight="1" s="9">
      <c r="A9" s="32" t="inlineStr">
        <is>
          <t>2026-09-01</t>
        </is>
      </c>
      <c r="B9" s="32" t="inlineStr">
        <is>
          <t>Bad Credit History</t>
        </is>
      </c>
      <c r="C9" s="32" t="n">
        <v>0</v>
      </c>
      <c r="D9" s="32" t="n">
        <v>0</v>
      </c>
    </row>
    <row r="10" ht="15" customHeight="1" s="9">
      <c r="A10" s="32" t="inlineStr">
        <is>
          <t>2026-09-01</t>
        </is>
      </c>
      <c r="B10" s="32" t="inlineStr">
        <is>
          <t>Age less minimum</t>
        </is>
      </c>
      <c r="C10" s="32" t="n">
        <v>0</v>
      </c>
      <c r="D10" s="32" t="n">
        <v>0</v>
      </c>
    </row>
    <row r="11" ht="15" customHeight="1" s="9">
      <c r="A11" s="32" t="inlineStr">
        <is>
          <t>2026-09-01</t>
        </is>
      </c>
      <c r="B11" s="32" t="inlineStr">
        <is>
          <t>Length of service less minimum</t>
        </is>
      </c>
      <c r="C11" s="32" t="n">
        <v>0</v>
      </c>
      <c r="D11" s="32" t="n">
        <v>0</v>
      </c>
    </row>
    <row r="12" ht="15" customHeight="1" s="9">
      <c r="A12" s="32" t="inlineStr">
        <is>
          <t>2026-09-01</t>
        </is>
      </c>
      <c r="B12" s="32" t="inlineStr">
        <is>
          <t>Retired</t>
        </is>
      </c>
      <c r="C12" s="32" t="n">
        <v>0</v>
      </c>
      <c r="D12" s="32" t="n">
        <v>0</v>
      </c>
    </row>
    <row r="13" ht="15" customHeight="1" s="9">
      <c r="A13" s="32" t="inlineStr">
        <is>
          <t>2026-09-01</t>
        </is>
      </c>
      <c r="B13" s="32" t="inlineStr">
        <is>
          <t>Reject.Documents</t>
        </is>
      </c>
      <c r="C13" s="32" t="n">
        <v>0</v>
      </c>
      <c r="D13" s="32" t="n">
        <v>0</v>
      </c>
    </row>
    <row r="14" ht="15" customHeight="1" s="9">
      <c r="A14" s="32" t="inlineStr">
        <is>
          <t>2026-09-01</t>
        </is>
      </c>
      <c r="B14" s="32" t="inlineStr">
        <is>
          <t>Fraud.</t>
        </is>
      </c>
      <c r="C14" s="32" t="n">
        <v>0</v>
      </c>
      <c r="D14" s="32" t="n">
        <v>0</v>
      </c>
    </row>
    <row r="15" ht="15" customHeight="1" s="9">
      <c r="A15" s="32" t="inlineStr">
        <is>
          <t>2026-09-01</t>
        </is>
      </c>
      <c r="B15" s="32" t="inlineStr">
        <is>
          <t>Retirement Age</t>
        </is>
      </c>
      <c r="C15" s="32" t="n">
        <v>0</v>
      </c>
      <c r="D15" s="32" t="n">
        <v>0</v>
      </c>
    </row>
    <row r="16" ht="15" customHeight="1" s="9">
      <c r="A16" s="32" t="inlineStr">
        <is>
          <t>2026-09-01</t>
        </is>
      </c>
      <c r="B16" s="32" t="inlineStr">
        <is>
          <t>high risk</t>
        </is>
      </c>
      <c r="C16" s="32" t="n">
        <v>0</v>
      </c>
      <c r="D16" s="32" t="n">
        <v>0</v>
      </c>
    </row>
    <row r="17" ht="15" customHeight="1" s="9">
      <c r="A17" s="32" t="inlineStr">
        <is>
          <t>2026-09-01</t>
        </is>
      </c>
      <c r="B17" s="32" t="inlineStr">
        <is>
          <t>Reject No Documents</t>
        </is>
      </c>
      <c r="C17" s="32" t="n">
        <v>0</v>
      </c>
      <c r="D17" s="32" t="n">
        <v>0</v>
      </c>
    </row>
    <row r="18" ht="15" customHeight="1" s="9">
      <c r="A18" s="32" t="inlineStr">
        <is>
          <t>2026-09-01</t>
        </is>
      </c>
      <c r="B18" s="32" t="inlineStr">
        <is>
          <t>Rejected by client</t>
        </is>
      </c>
      <c r="C18" s="32" t="n">
        <v>0</v>
      </c>
      <c r="D18" s="32" t="n">
        <v>0</v>
      </c>
    </row>
    <row r="20" ht="32.8" customHeight="1" s="9">
      <c r="A20" s="33" t="inlineStr">
        <is>
          <t>LEGEND: Fill Date, Number of Requests, and Amounts for each decision type EVERY DAY. Add a NEW block of rows for each new date — never overwrite yesterday's rows. This is what lets Power BI build a daily trend instead of a static snapshot.</t>
        </is>
      </c>
    </row>
  </sheetData>
  <mergeCells count="1">
    <mergeCell ref="A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E4"/>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8" min="1" max="1"/>
    <col width="22" customWidth="1" style="28" min="2" max="3"/>
    <col width="20" customWidth="1" style="28" min="4" max="4"/>
    <col width="14" customWidth="1" style="28" min="5" max="5"/>
  </cols>
  <sheetData>
    <row r="1" ht="15" customHeight="1" s="9">
      <c r="A1" s="31" t="inlineStr">
        <is>
          <t>Date - التاريخ</t>
        </is>
      </c>
      <c r="B1" s="31" t="inlineStr">
        <is>
          <t>Today Financing Amount</t>
        </is>
      </c>
      <c r="C1" s="31" t="inlineStr">
        <is>
          <t>Total Financing Amount</t>
        </is>
      </c>
      <c r="D1" s="31" t="inlineStr">
        <is>
          <t>Total Number Contracts</t>
        </is>
      </c>
      <c r="E1" s="31" t="inlineStr">
        <is>
          <t>Cancelled</t>
        </is>
      </c>
    </row>
    <row r="2" ht="15" customHeight="1" s="9">
      <c r="A2" s="32" t="inlineStr">
        <is>
          <t>2026-09-01</t>
        </is>
      </c>
      <c r="B2" s="32" t="n">
        <v>0</v>
      </c>
      <c r="C2" s="32" t="n">
        <v>0</v>
      </c>
      <c r="D2" s="32" t="n">
        <v>0</v>
      </c>
      <c r="E2" s="32" t="n">
        <v>0</v>
      </c>
    </row>
    <row r="4" ht="32.8" customHeight="1" s="9">
      <c r="A4" s="33" t="inlineStr">
        <is>
          <t>LEGEND: ONE row per day. Append a new row each day with that day's totals — do not edit the previous day's row. This was merged with Credit_Decisions in the old file; it has a different shape (summary vs. list) so it must stay its own table.</t>
        </is>
      </c>
    </row>
  </sheetData>
  <mergeCells count="1">
    <mergeCell ref="A4:D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tabColor rgb="00C00000"/>
    <outlinePr summaryBelow="1" summaryRight="1"/>
    <pageSetUpPr/>
  </sheetPr>
  <dimension ref="A1:D16"/>
  <sheetViews>
    <sheetView rightToLeft="1" workbookViewId="0">
      <selection activeCell="A1" sqref="A1"/>
    </sheetView>
  </sheetViews>
  <sheetFormatPr baseColWidth="8" defaultRowHeight="15"/>
  <cols>
    <col width="14" customWidth="1" style="9" min="1" max="1"/>
    <col width="38" customWidth="1" style="9" min="2" max="2"/>
    <col width="22" customWidth="1" style="9" min="3" max="3"/>
    <col width="24" customWidth="1" style="9" min="4" max="4"/>
  </cols>
  <sheetData>
    <row r="1">
      <c r="A1" s="34" t="inlineStr">
        <is>
          <t>As Of Date - تاريخ الرصيد</t>
        </is>
      </c>
      <c r="B1" s="35" t="inlineStr">
        <is>
          <t>2026-09-01</t>
        </is>
      </c>
    </row>
    <row r="3">
      <c r="A3" s="36" t="inlineStr">
        <is>
          <t>Bucket - البوكت</t>
        </is>
      </c>
      <c r="B3" s="36" t="inlineStr">
        <is>
          <t>Description - الوصف</t>
        </is>
      </c>
      <c r="C3" s="36" t="inlineStr">
        <is>
          <t>Number of Customers - عدد العملاء</t>
        </is>
      </c>
      <c r="D3" s="36" t="inlineStr">
        <is>
          <t>Overdue Amount - مبلغ المتأخرات</t>
        </is>
      </c>
    </row>
    <row r="4">
      <c r="A4" s="37" t="n">
        <v>1</v>
      </c>
      <c r="B4" s="37" t="inlineStr">
        <is>
          <t>-</t>
        </is>
      </c>
      <c r="C4" s="37" t="n">
        <v>0</v>
      </c>
      <c r="D4" s="37" t="n">
        <v>0</v>
      </c>
    </row>
    <row r="5">
      <c r="A5" s="37" t="n">
        <v>2</v>
      </c>
      <c r="B5" s="37" t="inlineStr">
        <is>
          <t>-</t>
        </is>
      </c>
      <c r="C5" s="37" t="n">
        <v>0</v>
      </c>
      <c r="D5" s="37" t="n">
        <v>0</v>
      </c>
    </row>
    <row r="6">
      <c r="A6" s="37" t="n">
        <v>3</v>
      </c>
      <c r="B6" s="37" t="inlineStr">
        <is>
          <t>-</t>
        </is>
      </c>
      <c r="C6" s="37" t="n">
        <v>0</v>
      </c>
      <c r="D6" s="37" t="n">
        <v>0</v>
      </c>
    </row>
    <row r="7">
      <c r="A7" s="37" t="n">
        <v>4</v>
      </c>
      <c r="B7" s="37" t="inlineStr">
        <is>
          <t>-</t>
        </is>
      </c>
      <c r="C7" s="37" t="n">
        <v>0</v>
      </c>
      <c r="D7" s="37" t="n">
        <v>0</v>
      </c>
    </row>
    <row r="8">
      <c r="A8" s="37" t="inlineStr">
        <is>
          <t>5 - 30</t>
        </is>
      </c>
      <c r="B8" s="37" t="inlineStr">
        <is>
          <t>-</t>
        </is>
      </c>
      <c r="C8" s="37" t="n">
        <v>0</v>
      </c>
      <c r="D8" s="37" t="n">
        <v>0</v>
      </c>
    </row>
    <row r="10">
      <c r="A10" s="38" t="inlineStr">
        <is>
          <t>الاجمالي - Total</t>
        </is>
      </c>
      <c r="C10" s="38">
        <f>SUM(Fixed_Arrears_Tbl[Number of Customers - عدد العملاء])</f>
        <v/>
      </c>
      <c r="D10" s="38">
        <f>SUM(Fixed_Arrears_Tbl[Overdue Amount - مبلغ المتأخرات])</f>
        <v/>
      </c>
    </row>
    <row r="12" ht="90" customHeight="1" s="9">
      <c r="A12" s="39" t="inlineStr">
        <is>
          <t>LEGEND / ملاحظة: هذا الجدول ثابت (Fixed) وليس سجل يومي — لا تضيفين له صفوف كل يوم مثل باقي الجداول. حدّثي 'تاريخ الرصيد' في B1 والأرقام في الأعمدة فقط عند توفر رصيد متأخرات جديد (مثلاً أسبوعيًا أو شهريًا من تقرير المحفظة). عدّلي وصف كل باكت (Description) حسب التعريف الفعلي المستخدم لديكم. لوحة Dashboard تسحب هذه الأرقام تلقائيًا فور تعديلها — بدون أي خطوة إضافية.</t>
        </is>
      </c>
    </row>
    <row r="13"/>
    <row r="14"/>
    <row r="15"/>
    <row r="16"/>
  </sheetData>
  <mergeCells count="1">
    <mergeCell ref="A12:D16"/>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28" min="1" max="2"/>
    <col width="40" customWidth="1" style="28" min="3" max="3"/>
    <col width="16" customWidth="1" style="28" min="4" max="4"/>
  </cols>
  <sheetData>
    <row r="1" ht="14.15" customHeight="1" s="9">
      <c r="A1" s="31" t="inlineStr">
        <is>
          <t>Date From - من</t>
        </is>
      </c>
      <c r="B1" s="31" t="inlineStr">
        <is>
          <t>Date To - الى</t>
        </is>
      </c>
      <c r="C1" s="31" t="inlineStr">
        <is>
          <t>Item - البند</t>
        </is>
      </c>
      <c r="D1" s="31" t="inlineStr">
        <is>
          <t>Amount - المبلغ</t>
        </is>
      </c>
    </row>
    <row r="2" ht="15" customHeight="1" s="9">
      <c r="A2" s="32" t="inlineStr">
        <is>
          <t>2026-09-01</t>
        </is>
      </c>
      <c r="B2" s="32" t="inlineStr">
        <is>
          <t>2026-09-01</t>
        </is>
      </c>
      <c r="C2" s="32" t="inlineStr">
        <is>
          <t>البنك العربي - تحصيل لون</t>
        </is>
      </c>
      <c r="D2" s="32" t="n">
        <v>0</v>
      </c>
    </row>
    <row r="3" ht="15" customHeight="1" s="9">
      <c r="A3" s="32" t="inlineStr">
        <is>
          <t>2026-09-01</t>
        </is>
      </c>
      <c r="B3" s="32" t="inlineStr">
        <is>
          <t>2026-09-01</t>
        </is>
      </c>
      <c r="C3" s="32" t="inlineStr">
        <is>
          <t>البنك العربي - التحصيل القضائي لون</t>
        </is>
      </c>
      <c r="D3" s="32" t="n">
        <v>0</v>
      </c>
    </row>
    <row r="4" ht="15" customHeight="1" s="9">
      <c r="A4" s="32" t="inlineStr">
        <is>
          <t>2026-09-01</t>
        </is>
      </c>
      <c r="B4" s="32" t="inlineStr">
        <is>
          <t>2026-09-01</t>
        </is>
      </c>
      <c r="C4" s="32" t="inlineStr">
        <is>
          <t>تاب الغير مسجل بالتحصيل</t>
        </is>
      </c>
      <c r="D4" s="32" t="n">
        <v>0</v>
      </c>
    </row>
    <row r="5" ht="15" customHeight="1" s="9">
      <c r="A5" s="32" t="inlineStr">
        <is>
          <t>2026-09-01</t>
        </is>
      </c>
      <c r="B5" s="32" t="inlineStr">
        <is>
          <t>2026-09-01</t>
        </is>
      </c>
      <c r="C5" s="32" t="inlineStr">
        <is>
          <t>مدفوعات من خلال سداد تاب - لون</t>
        </is>
      </c>
      <c r="D5" s="32" t="n">
        <v>0</v>
      </c>
    </row>
    <row r="6" ht="15" customHeight="1" s="9">
      <c r="A6" s="32" t="inlineStr">
        <is>
          <t>2026-09-01</t>
        </is>
      </c>
      <c r="B6" s="32" t="inlineStr">
        <is>
          <t>2026-09-01</t>
        </is>
      </c>
      <c r="C6" s="32" t="inlineStr">
        <is>
          <t>مدفوعات من خلال سداد تاب - الصندوق</t>
        </is>
      </c>
      <c r="D6" s="32" t="n">
        <v>0</v>
      </c>
    </row>
    <row r="7" ht="15" customHeight="1" s="9">
      <c r="A7" s="32" t="inlineStr">
        <is>
          <t>2026-09-01</t>
        </is>
      </c>
      <c r="B7" s="32" t="inlineStr">
        <is>
          <t>2026-09-01</t>
        </is>
      </c>
      <c r="C7" s="32" t="inlineStr">
        <is>
          <t>الاجمالي</t>
        </is>
      </c>
      <c r="D7" s="32" t="n">
        <v>0</v>
      </c>
    </row>
    <row r="9" ht="32.8" customHeight="1" s="9">
      <c r="A9" s="33" t="inlineStr">
        <is>
          <t>LEGEND: 'Date From/To' were a single merged text header in the old file — Power BI cannot parse that as a date. They are now real date columns. Fill Amount for each item, and append a new block of rows whenever the reporting period changes.</t>
        </is>
      </c>
    </row>
  </sheetData>
  <mergeCells count="1">
    <mergeCell ref="A9:D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28" min="1" max="1"/>
    <col width="22" customWidth="1" style="28" min="2" max="2"/>
    <col width="10" customWidth="1" style="28" min="3" max="3"/>
    <col width="12" customWidth="1" style="28" min="4" max="4"/>
    <col width="14" customWidth="1" style="28" min="5" max="6"/>
    <col width="16" customWidth="1" style="28" min="7" max="10"/>
  </cols>
  <sheetData>
    <row r="1" ht="14.15" customHeight="1" s="9">
      <c r="A1" s="31" t="inlineStr">
        <is>
          <t>Date - التاريخ</t>
        </is>
      </c>
      <c r="B1" s="31" t="inlineStr">
        <is>
          <t>Employee Name - اسم الموظف</t>
        </is>
      </c>
      <c r="C1" s="31" t="inlineStr">
        <is>
          <t>Bucket - البوكت</t>
        </is>
      </c>
      <c r="D1" s="31" t="inlineStr">
        <is>
          <t>Target % - نسبة التارقت</t>
        </is>
      </c>
      <c r="E1" s="31" t="inlineStr">
        <is>
          <t>Target - التارقت</t>
        </is>
      </c>
      <c r="F1" s="31" t="inlineStr">
        <is>
          <t>Payment - السداد</t>
        </is>
      </c>
      <c r="G1" s="31" t="inlineStr">
        <is>
          <t>Negotiations - المناحرات</t>
        </is>
      </c>
      <c r="H1" s="31" t="inlineStr">
        <is>
          <t>Target Amount - مبلغ المستهدف</t>
        </is>
      </c>
      <c r="I1" s="31" t="inlineStr">
        <is>
          <t>Number of Customers - عدد العملاء</t>
        </is>
      </c>
      <c r="J1" s="31" t="inlineStr">
        <is>
          <t>Number Handled - عدد المعالجه</t>
        </is>
      </c>
    </row>
    <row r="2" ht="15" customHeight="1" s="9">
      <c r="A2" s="32" t="inlineStr">
        <is>
          <t>2026-09-01</t>
        </is>
      </c>
      <c r="B2" s="32" t="n"/>
      <c r="C2" s="32" t="n">
        <v>1</v>
      </c>
      <c r="D2" s="40" t="n">
        <v>0</v>
      </c>
      <c r="E2" s="32" t="n">
        <v>0</v>
      </c>
      <c r="F2" s="32" t="n">
        <v>0</v>
      </c>
      <c r="G2" s="32" t="n">
        <v>0</v>
      </c>
      <c r="H2" s="32" t="n">
        <v>0</v>
      </c>
      <c r="I2" s="32" t="n">
        <v>0</v>
      </c>
      <c r="J2" s="32" t="n">
        <v>0</v>
      </c>
    </row>
    <row r="3" ht="15" customHeight="1" s="9">
      <c r="A3" s="32" t="inlineStr">
        <is>
          <t>2026-09-01</t>
        </is>
      </c>
      <c r="B3" s="32" t="n"/>
      <c r="C3" s="32" t="n">
        <v>2</v>
      </c>
      <c r="D3" s="40" t="n">
        <v>0</v>
      </c>
      <c r="E3" s="32" t="n">
        <v>0</v>
      </c>
      <c r="F3" s="32" t="n">
        <v>0</v>
      </c>
      <c r="G3" s="32" t="n">
        <v>0</v>
      </c>
      <c r="H3" s="32" t="n">
        <v>0</v>
      </c>
      <c r="I3" s="32" t="n">
        <v>0</v>
      </c>
      <c r="J3" s="32" t="n">
        <v>0</v>
      </c>
    </row>
    <row r="4" ht="15" customHeight="1" s="9">
      <c r="A4" s="32" t="inlineStr">
        <is>
          <t>2026-09-01</t>
        </is>
      </c>
      <c r="B4" s="32" t="n"/>
      <c r="C4" s="32" t="n">
        <v>3</v>
      </c>
      <c r="D4" s="40" t="n">
        <v>0</v>
      </c>
      <c r="E4" s="32" t="n">
        <v>0</v>
      </c>
      <c r="F4" s="32" t="n">
        <v>0</v>
      </c>
      <c r="G4" s="32" t="n">
        <v>0</v>
      </c>
      <c r="H4" s="32" t="n">
        <v>0</v>
      </c>
      <c r="I4" s="32" t="n">
        <v>0</v>
      </c>
      <c r="J4" s="32" t="n">
        <v>0</v>
      </c>
    </row>
    <row r="5" ht="15" customHeight="1" s="9">
      <c r="A5" s="32" t="inlineStr">
        <is>
          <t>2026-09-01</t>
        </is>
      </c>
      <c r="B5" s="32" t="n"/>
      <c r="C5" s="32" t="n">
        <v>4</v>
      </c>
      <c r="D5" s="40" t="n">
        <v>0</v>
      </c>
      <c r="E5" s="32" t="n">
        <v>0</v>
      </c>
      <c r="F5" s="32" t="n">
        <v>0</v>
      </c>
      <c r="G5" s="32" t="n">
        <v>0</v>
      </c>
      <c r="H5" s="32" t="n">
        <v>0</v>
      </c>
      <c r="I5" s="32" t="n">
        <v>0</v>
      </c>
      <c r="J5" s="32" t="n">
        <v>0</v>
      </c>
    </row>
    <row r="6" ht="15" customHeight="1" s="9">
      <c r="A6" s="32" t="inlineStr">
        <is>
          <t>2026-09-01</t>
        </is>
      </c>
      <c r="B6" s="32" t="n"/>
      <c r="C6" s="32" t="inlineStr">
        <is>
          <t>5 - 30</t>
        </is>
      </c>
      <c r="D6" s="40" t="n">
        <v>0</v>
      </c>
      <c r="E6" s="32" t="n">
        <v>0</v>
      </c>
      <c r="F6" s="32" t="n">
        <v>0</v>
      </c>
      <c r="G6" s="32" t="n">
        <v>0</v>
      </c>
      <c r="H6" s="32" t="n">
        <v>0</v>
      </c>
      <c r="I6" s="32" t="n">
        <v>0</v>
      </c>
      <c r="J6" s="32" t="n">
        <v>0</v>
      </c>
    </row>
    <row r="8" ht="43.25" customHeight="1" s="9">
      <c r="A8" s="33" t="inlineStr">
        <is>
          <t>LEGEND: This was crammed beside the item/amount table in the old sheet — different grain (per employee/bucket, per day) so it now has its own tab. Fill Employee Name and Payment daily; append new rows each day rather than overwriting.</t>
        </is>
      </c>
    </row>
  </sheetData>
  <mergeCells count="1">
    <mergeCell ref="A8:D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8" min="1" max="1"/>
    <col width="34" customWidth="1" style="28" min="2" max="2"/>
    <col width="12" customWidth="1" style="28" min="3" max="3"/>
    <col width="16" customWidth="1" style="28" min="4" max="4"/>
  </cols>
  <sheetData>
    <row r="1" ht="14.15" customHeight="1" s="9">
      <c r="A1" s="31" t="inlineStr">
        <is>
          <t>Date - التاريخ</t>
        </is>
      </c>
      <c r="B1" s="31" t="inlineStr">
        <is>
          <t>Status - الحالة</t>
        </is>
      </c>
      <c r="C1" s="31" t="inlineStr">
        <is>
          <t>Count - العدد</t>
        </is>
      </c>
      <c r="D1" s="31" t="inlineStr">
        <is>
          <t>Amounts - المبالغ</t>
        </is>
      </c>
    </row>
    <row r="2" ht="15" customHeight="1" s="9">
      <c r="A2" s="32" t="inlineStr">
        <is>
          <t>2026-09-01</t>
        </is>
      </c>
      <c r="B2" s="32" t="inlineStr">
        <is>
          <t>Accepted - تم التنفيذ</t>
        </is>
      </c>
      <c r="C2" s="32" t="n">
        <v>0</v>
      </c>
      <c r="D2" s="32" t="n">
        <v>0</v>
      </c>
    </row>
    <row r="3" ht="15" customHeight="1" s="9">
      <c r="A3" s="32" t="inlineStr">
        <is>
          <t>2026-09-01</t>
        </is>
      </c>
      <c r="B3" s="32" t="inlineStr">
        <is>
          <t>High profit - النسبه مرتفعه</t>
        </is>
      </c>
      <c r="C3" s="32" t="n">
        <v>0</v>
      </c>
      <c r="D3" s="32" t="n">
        <v>0</v>
      </c>
    </row>
    <row r="4" ht="15" customHeight="1" s="9">
      <c r="A4" s="32" t="inlineStr">
        <is>
          <t>2026-09-01</t>
        </is>
      </c>
      <c r="B4" s="32" t="inlineStr">
        <is>
          <t>Thinking - يفكر</t>
        </is>
      </c>
      <c r="C4" s="32" t="n">
        <v>0</v>
      </c>
      <c r="D4" s="32" t="n">
        <v>0</v>
      </c>
    </row>
    <row r="5" ht="15" customHeight="1" s="9">
      <c r="A5" s="32" t="inlineStr">
        <is>
          <t>2026-09-01</t>
        </is>
      </c>
      <c r="B5" s="32" t="inlineStr">
        <is>
          <t>Want more - يرغب ب اكثر</t>
        </is>
      </c>
      <c r="C5" s="32" t="n">
        <v>0</v>
      </c>
      <c r="D5" s="32" t="n">
        <v>0</v>
      </c>
    </row>
    <row r="6" ht="15" customHeight="1" s="9">
      <c r="A6" s="32" t="inlineStr">
        <is>
          <t>2026-09-01</t>
        </is>
      </c>
      <c r="B6" s="32" t="inlineStr">
        <is>
          <t>Active Loan - الطلب قائم</t>
        </is>
      </c>
      <c r="C6" s="32" t="n">
        <v>0</v>
      </c>
      <c r="D6" s="32" t="n">
        <v>0</v>
      </c>
    </row>
    <row r="7" ht="15" customHeight="1" s="9">
      <c r="A7" s="32" t="inlineStr">
        <is>
          <t>2026-09-01</t>
        </is>
      </c>
      <c r="B7" s="32" t="inlineStr">
        <is>
          <t>rejected - لايرغب بالتمويل</t>
        </is>
      </c>
      <c r="C7" s="32" t="n">
        <v>0</v>
      </c>
      <c r="D7" s="32" t="n">
        <v>0</v>
      </c>
    </row>
    <row r="8" ht="15" customHeight="1" s="9">
      <c r="A8" s="32" t="inlineStr">
        <is>
          <t>2026-09-01</t>
        </is>
      </c>
      <c r="B8" s="32" t="inlineStr">
        <is>
          <t>Answer - تم التواصل</t>
        </is>
      </c>
      <c r="C8" s="32" t="n">
        <v>0</v>
      </c>
      <c r="D8" s="32" t="n">
        <v>0</v>
      </c>
    </row>
    <row r="9" ht="15" customHeight="1" s="9">
      <c r="A9" s="32" t="inlineStr">
        <is>
          <t>2026-09-01</t>
        </is>
      </c>
      <c r="B9" s="32" t="inlineStr">
        <is>
          <t>Not eligible - غير مستحق</t>
        </is>
      </c>
      <c r="C9" s="32" t="n">
        <v>0</v>
      </c>
      <c r="D9" s="32" t="n">
        <v>0</v>
      </c>
    </row>
    <row r="10" ht="15" customHeight="1" s="9">
      <c r="A10" s="32" t="inlineStr">
        <is>
          <t>2026-09-01</t>
        </is>
      </c>
      <c r="B10" s="32" t="inlineStr">
        <is>
          <t>No Answer - لم يتم الرد</t>
        </is>
      </c>
      <c r="C10" s="32" t="n">
        <v>0</v>
      </c>
      <c r="D10" s="32" t="n">
        <v>0</v>
      </c>
    </row>
    <row r="12" ht="32.8" customHeight="1" s="9">
      <c r="A12" s="33" t="inlineStr">
        <is>
          <t>LEGEND: Add the Date column that was missing before. Each day, append a NEW block of rows (one per status) with that day's counts — do not overwrite yesterday's numbers, or Power BI will only ever see a single snapshot instead of a trend.</t>
        </is>
      </c>
    </row>
  </sheetData>
  <mergeCells count="1">
    <mergeCell ref="A12:D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8" min="1" max="1"/>
    <col width="34" customWidth="1" style="28" min="2" max="2"/>
    <col width="12" customWidth="1" style="28" min="3" max="4"/>
  </cols>
  <sheetData>
    <row r="1" ht="14.15" customHeight="1" s="9">
      <c r="A1" s="31" t="inlineStr">
        <is>
          <t>Date - التاريخ</t>
        </is>
      </c>
      <c r="B1" s="31" t="inlineStr">
        <is>
          <t>Parameter - المعيار</t>
        </is>
      </c>
      <c r="C1" s="31" t="inlineStr">
        <is>
          <t>Active - نشط</t>
        </is>
      </c>
      <c r="D1" s="31" t="inlineStr">
        <is>
          <t>Close - مغلق</t>
        </is>
      </c>
    </row>
    <row r="2" ht="15" customHeight="1" s="9">
      <c r="A2" s="32" t="inlineStr">
        <is>
          <t>2026-09-01</t>
        </is>
      </c>
      <c r="B2" s="32" t="inlineStr">
        <is>
          <t>SAMA care complaint</t>
        </is>
      </c>
      <c r="C2" s="32" t="n">
        <v>0</v>
      </c>
      <c r="D2" s="32" t="n">
        <v>0</v>
      </c>
    </row>
    <row r="3" ht="15" customHeight="1" s="9">
      <c r="A3" s="32" t="inlineStr">
        <is>
          <t>2026-09-01</t>
        </is>
      </c>
      <c r="B3" s="32" t="inlineStr">
        <is>
          <t>Customer Complaints and Requests</t>
        </is>
      </c>
      <c r="C3" s="32" t="n">
        <v>0</v>
      </c>
      <c r="D3" s="32" t="n">
        <v>0</v>
      </c>
    </row>
    <row r="4" ht="15" customHeight="1" s="9">
      <c r="A4" s="32" t="inlineStr">
        <is>
          <t>2026-09-01</t>
        </is>
      </c>
      <c r="B4" s="32" t="inlineStr">
        <is>
          <t>Stitch Tickets</t>
        </is>
      </c>
      <c r="C4" s="32" t="n">
        <v>0</v>
      </c>
      <c r="D4" s="32" t="n">
        <v>0</v>
      </c>
    </row>
    <row r="5" ht="15" customHeight="1" s="9">
      <c r="A5" s="32" t="inlineStr">
        <is>
          <t>2026-09-01</t>
        </is>
      </c>
      <c r="B5" s="32" t="inlineStr">
        <is>
          <t>Calls</t>
        </is>
      </c>
      <c r="C5" s="32" t="n">
        <v>0</v>
      </c>
      <c r="D5" s="32" t="n">
        <v>0</v>
      </c>
    </row>
    <row r="6" ht="15" customHeight="1" s="9">
      <c r="A6" s="32" t="inlineStr">
        <is>
          <t>2026-09-01</t>
        </is>
      </c>
      <c r="B6" s="32" t="inlineStr">
        <is>
          <t>Emails</t>
        </is>
      </c>
      <c r="C6" s="32" t="n">
        <v>0</v>
      </c>
      <c r="D6" s="32" t="n">
        <v>0</v>
      </c>
    </row>
    <row r="8" ht="22.35" customHeight="1" s="9">
      <c r="A8" s="33" t="inlineStr">
        <is>
          <t>LEGEND: This tab was empty of data before. Fill Active/Close counts per parameter, and append a new dated block each day.</t>
        </is>
      </c>
    </row>
  </sheetData>
  <mergeCells count="1">
    <mergeCell ref="A8:D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0.xml><?xml version="1.0" encoding="utf-8"?>
<worksheet xmlns="http://schemas.openxmlformats.org/spreadsheetml/2006/main">
  <sheetPr>
    <tabColor rgb="FF808080"/>
    <outlinePr summaryBelow="1" summaryRight="1"/>
    <pageSetUpPr/>
  </sheetPr>
  <dimension ref="A1:Y403"/>
  <sheetViews>
    <sheetView rightToLeft="1" workbookViewId="0">
      <selection activeCell="A1" sqref="A1"/>
    </sheetView>
  </sheetViews>
  <sheetFormatPr baseColWidth="8" defaultRowHeight="15"/>
  <cols>
    <col width="16" customWidth="1" style="9" min="1" max="1"/>
    <col width="16" customWidth="1" style="9" min="2" max="2"/>
    <col width="16" customWidth="1" style="9" min="3" max="3"/>
    <col width="16" customWidth="1" style="9" min="4" max="4"/>
    <col width="16" customWidth="1" style="9" min="5" max="5"/>
    <col width="16" customWidth="1" style="9" min="6" max="6"/>
    <col width="16" customWidth="1" style="9" min="7" max="7"/>
    <col width="16" customWidth="1" style="9" min="8" max="8"/>
    <col width="16" customWidth="1" style="9" min="9" max="9"/>
    <col width="16" customWidth="1" style="9" min="10" max="10"/>
    <col width="30" customWidth="1" style="9" min="12" max="12"/>
    <col width="16" customWidth="1" style="9" min="13" max="13"/>
    <col width="16" customWidth="1" style="9" min="14" max="14"/>
    <col width="30" customWidth="1" style="9" min="16" max="16"/>
    <col width="16" customWidth="1" style="9" min="17" max="17"/>
    <col width="16" customWidth="1" style="9" min="18" max="18"/>
    <col width="30" customWidth="1" style="9" min="20" max="20"/>
    <col width="16" customWidth="1" style="9" min="21" max="21"/>
    <col width="16" customWidth="1" style="9" min="22" max="22"/>
    <col width="30" customWidth="1" style="9" min="24" max="24"/>
    <col width="16" customWidth="1" style="9" min="25" max="25"/>
  </cols>
  <sheetData>
    <row r="1">
      <c r="A1" s="41" t="inlineStr">
        <is>
          <t>ورقة حسابات مساعدة تغذّي لوحة Dashboard — لا تعدّلي هنا يدويًا (Helper sheet, do not edit).</t>
        </is>
      </c>
      <c r="L1" s="42" t="inlineStr">
        <is>
          <t>Credit Decisions — آخر يوم</t>
        </is>
      </c>
      <c r="P1" s="42" t="inlineStr">
        <is>
          <t>Sales — آخر يوم</t>
        </is>
      </c>
      <c r="T1" s="42" t="inlineStr">
        <is>
          <t>Customer Care — آخر يوم</t>
        </is>
      </c>
      <c r="X1" s="42" t="inlineStr">
        <is>
          <t>Collection Summary — آخر فترة</t>
        </is>
      </c>
    </row>
    <row r="2">
      <c r="A2" s="36" t="inlineStr">
        <is>
          <t>Date - التاريخ</t>
        </is>
      </c>
      <c r="B2" s="36" t="inlineStr">
        <is>
          <t>Total Financing Amount</t>
        </is>
      </c>
      <c r="C2" s="36" t="inlineStr">
        <is>
          <t>Today Financing Amount</t>
        </is>
      </c>
      <c r="D2" s="36" t="inlineStr">
        <is>
          <t>Total Number Contracts</t>
        </is>
      </c>
      <c r="E2" s="36" t="inlineStr">
        <is>
          <t>Cancelled</t>
        </is>
      </c>
      <c r="F2" s="36" t="inlineStr">
        <is>
          <t>Total Collections - إجمالي التحصيلات</t>
        </is>
      </c>
      <c r="G2" s="36" t="inlineStr">
        <is>
          <t>Sales Total Count - إجمالي المبيعات</t>
        </is>
      </c>
      <c r="H2" s="36" t="inlineStr">
        <is>
          <t>Sales Accepted Count - مبيعات مقبولة</t>
        </is>
      </c>
      <c r="I2" s="36" t="inlineStr">
        <is>
          <t>Customer Care Active - شكاوى نشطة</t>
        </is>
      </c>
      <c r="J2" s="36" t="inlineStr">
        <is>
          <t>Customer Care Close - شكاوى مغلقة</t>
        </is>
      </c>
      <c r="L2" s="36" t="inlineStr">
        <is>
          <t>Decision Type - القرار</t>
        </is>
      </c>
      <c r="M2" s="36" t="inlineStr">
        <is>
          <t>Count - العدد</t>
        </is>
      </c>
      <c r="N2" s="36" t="inlineStr">
        <is>
          <t>Amount - المبلغ</t>
        </is>
      </c>
      <c r="P2" s="36" t="inlineStr">
        <is>
          <t>Status - الحالة</t>
        </is>
      </c>
      <c r="Q2" s="36" t="inlineStr">
        <is>
          <t>Count - العدد</t>
        </is>
      </c>
      <c r="R2" s="36" t="inlineStr">
        <is>
          <t>Amount - المبلغ</t>
        </is>
      </c>
      <c r="T2" s="36" t="inlineStr">
        <is>
          <t>Parameter - المعيار</t>
        </is>
      </c>
      <c r="U2" s="36" t="inlineStr">
        <is>
          <t>Active - نشط</t>
        </is>
      </c>
      <c r="V2" s="36" t="inlineStr">
        <is>
          <t>Close - مغلق</t>
        </is>
      </c>
      <c r="X2" s="36" t="inlineStr">
        <is>
          <t>Item - البند</t>
        </is>
      </c>
      <c r="Y2" s="36" t="inlineStr">
        <is>
          <t>Amount - المبلغ</t>
        </is>
      </c>
    </row>
    <row r="3">
      <c r="A3" t="inlineStr">
        <is>
          <t>2026-09-01</t>
        </is>
      </c>
      <c r="B3">
        <f>IF($A3&gt;TODAY(),"",IFERROR(INDEX(Credit_KPIs_Tbl[Total Financing Amount],MATCH($A3,Credit_KPIs_Tbl[Date - التاريخ],0)),""))</f>
        <v/>
      </c>
      <c r="C3">
        <f>IF($A3&gt;TODAY(),"",IFERROR(INDEX(Credit_KPIs_Tbl[Today Financing Amount],MATCH($A3,Credit_KPIs_Tbl[Date - التاريخ],0)),""))</f>
        <v/>
      </c>
      <c r="D3">
        <f>IF($A3&gt;TODAY(),"",IFERROR(INDEX(Credit_KPIs_Tbl[Total Number Contracts],MATCH($A3,Credit_KPIs_Tbl[Date - التاريخ],0)),""))</f>
        <v/>
      </c>
      <c r="E3">
        <f>IF($A3&gt;TODAY(),"",IFERROR(INDEX(Credit_KPIs_Tbl[Cancelled],MATCH($A3,Credit_KPIs_Tbl[Date - التاريخ],0)),""))</f>
        <v/>
      </c>
      <c r="F3">
        <f>IF($A3&gt;TODAY(),"",SUMIFS(Collection_Summary_Tbl[Amount - المبلغ],Collection_Summary_Tbl[Item - البند],"الاجمالي",Collection_Summary_Tbl[Date To - الى],$A3))</f>
        <v/>
      </c>
      <c r="G3">
        <f>IF($A3&gt;TODAY(),"",SUMIFS(Sales_Tbl[Count - العدد],Sales_Tbl[Date - التاريخ],$A3))</f>
        <v/>
      </c>
      <c r="H3">
        <f>IF($A3&gt;TODAY(),"",SUMIFS(Sales_Tbl[Count - العدد],Sales_Tbl[Status - الحالة],"Accepted - تم التنفيذ",Sales_Tbl[Date - التاريخ],$A3))</f>
        <v/>
      </c>
      <c r="I3">
        <f>IF($A3&gt;TODAY(),"",SUMIFS(Customer_Care_Tbl[Active - نشط],Customer_Care_Tbl[Date - التاريخ],$A3))</f>
        <v/>
      </c>
      <c r="J3">
        <f>IF($A3&gt;TODAY(),"",SUMIFS(Customer_Care_Tbl[Close - مغلق],Customer_Care_Tbl[Date - التاريخ],$A3))</f>
        <v/>
      </c>
      <c r="L3" t="inlineStr">
        <is>
          <t>Approval</t>
        </is>
      </c>
      <c r="M3">
        <f>SUMIFS(Credit_Decisions_Tbl[Number of Requests - عدد الطلبات],Credit_Decisions_Tbl[Credit Decision - قرار الائتمان],"Approval",Credit_Decisions_Tbl[Date - التاريخ],MAX(Credit_Decisions_Tbl[Date - التاريخ]))</f>
        <v/>
      </c>
      <c r="N3">
        <f>SUMIFS(Credit_Decisions_Tbl[Amounts - المبالغ],Credit_Decisions_Tbl[Credit Decision - قرار الائتمان],"Approval",Credit_Decisions_Tbl[Date - التاريخ],MAX(Credit_Decisions_Tbl[Date - التاريخ]))</f>
        <v/>
      </c>
      <c r="P3" t="inlineStr">
        <is>
          <t>Accepted - تم التنفيذ</t>
        </is>
      </c>
      <c r="Q3">
        <f>SUMIFS(Sales_Tbl[Count - العدد],Sales_Tbl[Status - الحالة],"Accepted - تم التنفيذ",Sales_Tbl[Date - التاريخ],MAX(Sales_Tbl[Date - التاريخ]))</f>
        <v/>
      </c>
      <c r="R3">
        <f>SUMIFS(Sales_Tbl[Amounts - المبالغ],Sales_Tbl[Status - الحالة],"Accepted - تم التنفيذ",Sales_Tbl[Date - التاريخ],MAX(Sales_Tbl[Date - التاريخ]))</f>
        <v/>
      </c>
      <c r="T3" t="inlineStr">
        <is>
          <t>SAMA care complaint</t>
        </is>
      </c>
      <c r="U3">
        <f>SUMIFS(Customer_Care_Tbl[Active - نشط],Customer_Care_Tbl[Parameter - المعيار],"SAMA care complaint",Customer_Care_Tbl[Date - التاريخ],MAX(Customer_Care_Tbl[Date - التاريخ]))</f>
        <v/>
      </c>
      <c r="V3">
        <f>SUMIFS(Customer_Care_Tbl[Close - مغلق],Customer_Care_Tbl[Parameter - المعيار],"SAMA care complaint",Customer_Care_Tbl[Date - التاريخ],MAX(Customer_Care_Tbl[Date - التاريخ]))</f>
        <v/>
      </c>
      <c r="X3" t="inlineStr">
        <is>
          <t>البنك العربي - تحصيل لون</t>
        </is>
      </c>
      <c r="Y3">
        <f>SUMIFS(Collection_Summary_Tbl[Amount - المبلغ],Collection_Summary_Tbl[Item - البند],"البنك العربي - تحصيل لون",Collection_Summary_Tbl[Date To - الى],MAX(Collection_Summary_Tbl[Date To - الى]))</f>
        <v/>
      </c>
    </row>
    <row r="4">
      <c r="A4">
        <f>A3+1</f>
        <v/>
      </c>
      <c r="B4">
        <f>IF($A4&gt;TODAY(),"",IFERROR(INDEX(Credit_KPIs_Tbl[Total Financing Amount],MATCH($A4,Credit_KPIs_Tbl[Date - التاريخ],0)),""))</f>
        <v/>
      </c>
      <c r="C4">
        <f>IF($A4&gt;TODAY(),"",IFERROR(INDEX(Credit_KPIs_Tbl[Today Financing Amount],MATCH($A4,Credit_KPIs_Tbl[Date - التاريخ],0)),""))</f>
        <v/>
      </c>
      <c r="D4">
        <f>IF($A4&gt;TODAY(),"",IFERROR(INDEX(Credit_KPIs_Tbl[Total Number Contracts],MATCH($A4,Credit_KPIs_Tbl[Date - التاريخ],0)),""))</f>
        <v/>
      </c>
      <c r="E4">
        <f>IF($A4&gt;TODAY(),"",IFERROR(INDEX(Credit_KPIs_Tbl[Cancelled],MATCH($A4,Credit_KPIs_Tbl[Date - التاريخ],0)),""))</f>
        <v/>
      </c>
      <c r="F4">
        <f>IF($A4&gt;TODAY(),"",SUMIFS(Collection_Summary_Tbl[Amount - المبلغ],Collection_Summary_Tbl[Item - البند],"الاجمالي",Collection_Summary_Tbl[Date To - الى],$A4))</f>
        <v/>
      </c>
      <c r="G4">
        <f>IF($A4&gt;TODAY(),"",SUMIFS(Sales_Tbl[Count - العدد],Sales_Tbl[Date - التاريخ],$A4))</f>
        <v/>
      </c>
      <c r="H4">
        <f>IF($A4&gt;TODAY(),"",SUMIFS(Sales_Tbl[Count - العدد],Sales_Tbl[Status - الحالة],"Accepted - تم التنفيذ",Sales_Tbl[Date - التاريخ],$A4))</f>
        <v/>
      </c>
      <c r="I4">
        <f>IF($A4&gt;TODAY(),"",SUMIFS(Customer_Care_Tbl[Active - نشط],Customer_Care_Tbl[Date - التاريخ],$A4))</f>
        <v/>
      </c>
      <c r="J4">
        <f>IF($A4&gt;TODAY(),"",SUMIFS(Customer_Care_Tbl[Close - مغلق],Customer_Care_Tbl[Date - التاريخ],$A4))</f>
        <v/>
      </c>
      <c r="L4" t="inlineStr">
        <is>
          <t>In progress</t>
        </is>
      </c>
      <c r="M4">
        <f>SUMIFS(Credit_Decisions_Tbl[Number of Requests - عدد الطلبات],Credit_Decisions_Tbl[Credit Decision - قرار الائتمان],"In progress",Credit_Decisions_Tbl[Date - التاريخ],MAX(Credit_Decisions_Tbl[Date - التاريخ]))</f>
        <v/>
      </c>
      <c r="N4">
        <f>SUMIFS(Credit_Decisions_Tbl[Amounts - المبالغ],Credit_Decisions_Tbl[Credit Decision - قرار الائتمان],"In progress",Credit_Decisions_Tbl[Date - التاريخ],MAX(Credit_Decisions_Tbl[Date - التاريخ]))</f>
        <v/>
      </c>
      <c r="P4" t="inlineStr">
        <is>
          <t>High profit - النسبه مرتفعه</t>
        </is>
      </c>
      <c r="Q4">
        <f>SUMIFS(Sales_Tbl[Count - العدد],Sales_Tbl[Status - الحالة],"High profit - النسبه مرتفعه",Sales_Tbl[Date - التاريخ],MAX(Sales_Tbl[Date - التاريخ]))</f>
        <v/>
      </c>
      <c r="R4">
        <f>SUMIFS(Sales_Tbl[Amounts - المبالغ],Sales_Tbl[Status - الحالة],"High profit - النسبه مرتفعه",Sales_Tbl[Date - التاريخ],MAX(Sales_Tbl[Date - التاريخ]))</f>
        <v/>
      </c>
      <c r="T4" t="inlineStr">
        <is>
          <t>Customer Complaints and Requests</t>
        </is>
      </c>
      <c r="U4">
        <f>SUMIFS(Customer_Care_Tbl[Active - نشط],Customer_Care_Tbl[Parameter - المعيار],"Customer Complaints and Requests",Customer_Care_Tbl[Date - التاريخ],MAX(Customer_Care_Tbl[Date - التاريخ]))</f>
        <v/>
      </c>
      <c r="V4">
        <f>SUMIFS(Customer_Care_Tbl[Close - مغلق],Customer_Care_Tbl[Parameter - المعيار],"Customer Complaints and Requests",Customer_Care_Tbl[Date - التاريخ],MAX(Customer_Care_Tbl[Date - التاريخ]))</f>
        <v/>
      </c>
      <c r="X4" t="inlineStr">
        <is>
          <t>البنك العربي - التحصيل القضائي لون</t>
        </is>
      </c>
      <c r="Y4">
        <f>SUMIFS(Collection_Summary_Tbl[Amount - المبلغ],Collection_Summary_Tbl[Item - البند],"البنك العربي - التحصيل القضائي لون",Collection_Summary_Tbl[Date To - الى],MAX(Collection_Summary_Tbl[Date To - الى]))</f>
        <v/>
      </c>
    </row>
    <row r="5">
      <c r="A5">
        <f>A4+1</f>
        <v/>
      </c>
      <c r="B5">
        <f>IF($A5&gt;TODAY(),"",IFERROR(INDEX(Credit_KPIs_Tbl[Total Financing Amount],MATCH($A5,Credit_KPIs_Tbl[Date - التاريخ],0)),""))</f>
        <v/>
      </c>
      <c r="C5">
        <f>IF($A5&gt;TODAY(),"",IFERROR(INDEX(Credit_KPIs_Tbl[Today Financing Amount],MATCH($A5,Credit_KPIs_Tbl[Date - التاريخ],0)),""))</f>
        <v/>
      </c>
      <c r="D5">
        <f>IF($A5&gt;TODAY(),"",IFERROR(INDEX(Credit_KPIs_Tbl[Total Number Contracts],MATCH($A5,Credit_KPIs_Tbl[Date - التاريخ],0)),""))</f>
        <v/>
      </c>
      <c r="E5">
        <f>IF($A5&gt;TODAY(),"",IFERROR(INDEX(Credit_KPIs_Tbl[Cancelled],MATCH($A5,Credit_KPIs_Tbl[Date - التاريخ],0)),""))</f>
        <v/>
      </c>
      <c r="F5">
        <f>IF($A5&gt;TODAY(),"",SUMIFS(Collection_Summary_Tbl[Amount - المبلغ],Collection_Summary_Tbl[Item - البند],"الاجمالي",Collection_Summary_Tbl[Date To - الى],$A5))</f>
        <v/>
      </c>
      <c r="G5">
        <f>IF($A5&gt;TODAY(),"",SUMIFS(Sales_Tbl[Count - العدد],Sales_Tbl[Date - التاريخ],$A5))</f>
        <v/>
      </c>
      <c r="H5">
        <f>IF($A5&gt;TODAY(),"",SUMIFS(Sales_Tbl[Count - العدد],Sales_Tbl[Status - الحالة],"Accepted - تم التنفيذ",Sales_Tbl[Date - التاريخ],$A5))</f>
        <v/>
      </c>
      <c r="I5">
        <f>IF($A5&gt;TODAY(),"",SUMIFS(Customer_Care_Tbl[Active - نشط],Customer_Care_Tbl[Date - التاريخ],$A5))</f>
        <v/>
      </c>
      <c r="J5">
        <f>IF($A5&gt;TODAY(),"",SUMIFS(Customer_Care_Tbl[Close - مغلق],Customer_Care_Tbl[Date - التاريخ],$A5))</f>
        <v/>
      </c>
      <c r="L5" t="inlineStr">
        <is>
          <t>Review with IT</t>
        </is>
      </c>
      <c r="M5">
        <f>SUMIFS(Credit_Decisions_Tbl[Number of Requests - عدد الطلبات],Credit_Decisions_Tbl[Credit Decision - قرار الائتمان],"Review with IT",Credit_Decisions_Tbl[Date - التاريخ],MAX(Credit_Decisions_Tbl[Date - التاريخ]))</f>
        <v/>
      </c>
      <c r="N5">
        <f>SUMIFS(Credit_Decisions_Tbl[Amounts - المبالغ],Credit_Decisions_Tbl[Credit Decision - قرار الائتمان],"Review with IT",Credit_Decisions_Tbl[Date - التاريخ],MAX(Credit_Decisions_Tbl[Date - التاريخ]))</f>
        <v/>
      </c>
      <c r="P5" t="inlineStr">
        <is>
          <t>Thinking - يفكر</t>
        </is>
      </c>
      <c r="Q5">
        <f>SUMIFS(Sales_Tbl[Count - العدد],Sales_Tbl[Status - الحالة],"Thinking - يفكر",Sales_Tbl[Date - التاريخ],MAX(Sales_Tbl[Date - التاريخ]))</f>
        <v/>
      </c>
      <c r="R5">
        <f>SUMIFS(Sales_Tbl[Amounts - المبالغ],Sales_Tbl[Status - الحالة],"Thinking - يفكر",Sales_Tbl[Date - التاريخ],MAX(Sales_Tbl[Date - التاريخ]))</f>
        <v/>
      </c>
      <c r="T5" t="inlineStr">
        <is>
          <t>Stitch Tickets</t>
        </is>
      </c>
      <c r="U5">
        <f>SUMIFS(Customer_Care_Tbl[Active - نشط],Customer_Care_Tbl[Parameter - المعيار],"Stitch Tickets",Customer_Care_Tbl[Date - التاريخ],MAX(Customer_Care_Tbl[Date - التاريخ]))</f>
        <v/>
      </c>
      <c r="V5">
        <f>SUMIFS(Customer_Care_Tbl[Close - مغلق],Customer_Care_Tbl[Parameter - المعيار],"Stitch Tickets",Customer_Care_Tbl[Date - التاريخ],MAX(Customer_Care_Tbl[Date - التاريخ]))</f>
        <v/>
      </c>
      <c r="X5" t="inlineStr">
        <is>
          <t>تاب الغير مسجل بالتحصيل</t>
        </is>
      </c>
      <c r="Y5">
        <f>SUMIFS(Collection_Summary_Tbl[Amount - المبلغ],Collection_Summary_Tbl[Item - البند],"تاب الغير مسجل بالتحصيل",Collection_Summary_Tbl[Date To - الى],MAX(Collection_Summary_Tbl[Date To - الى]))</f>
        <v/>
      </c>
    </row>
    <row r="6">
      <c r="A6">
        <f>A5+1</f>
        <v/>
      </c>
      <c r="B6">
        <f>IF($A6&gt;TODAY(),"",IFERROR(INDEX(Credit_KPIs_Tbl[Total Financing Amount],MATCH($A6,Credit_KPIs_Tbl[Date - التاريخ],0)),""))</f>
        <v/>
      </c>
      <c r="C6">
        <f>IF($A6&gt;TODAY(),"",IFERROR(INDEX(Credit_KPIs_Tbl[Today Financing Amount],MATCH($A6,Credit_KPIs_Tbl[Date - التاريخ],0)),""))</f>
        <v/>
      </c>
      <c r="D6">
        <f>IF($A6&gt;TODAY(),"",IFERROR(INDEX(Credit_KPIs_Tbl[Total Number Contracts],MATCH($A6,Credit_KPIs_Tbl[Date - التاريخ],0)),""))</f>
        <v/>
      </c>
      <c r="E6">
        <f>IF($A6&gt;TODAY(),"",IFERROR(INDEX(Credit_KPIs_Tbl[Cancelled],MATCH($A6,Credit_KPIs_Tbl[Date - التاريخ],0)),""))</f>
        <v/>
      </c>
      <c r="F6">
        <f>IF($A6&gt;TODAY(),"",SUMIFS(Collection_Summary_Tbl[Amount - المبلغ],Collection_Summary_Tbl[Item - البند],"الاجمالي",Collection_Summary_Tbl[Date To - الى],$A6))</f>
        <v/>
      </c>
      <c r="G6">
        <f>IF($A6&gt;TODAY(),"",SUMIFS(Sales_Tbl[Count - العدد],Sales_Tbl[Date - التاريخ],$A6))</f>
        <v/>
      </c>
      <c r="H6">
        <f>IF($A6&gt;TODAY(),"",SUMIFS(Sales_Tbl[Count - العدد],Sales_Tbl[Status - الحالة],"Accepted - تم التنفيذ",Sales_Tbl[Date - التاريخ],$A6))</f>
        <v/>
      </c>
      <c r="I6">
        <f>IF($A6&gt;TODAY(),"",SUMIFS(Customer_Care_Tbl[Active - نشط],Customer_Care_Tbl[Date - التاريخ],$A6))</f>
        <v/>
      </c>
      <c r="J6">
        <f>IF($A6&gt;TODAY(),"",SUMIFS(Customer_Care_Tbl[Close - مغلق],Customer_Care_Tbl[Date - التاريخ],$A6))</f>
        <v/>
      </c>
      <c r="L6" t="inlineStr">
        <is>
          <t>High DBR</t>
        </is>
      </c>
      <c r="M6">
        <f>SUMIFS(Credit_Decisions_Tbl[Number of Requests - عدد الطلبات],Credit_Decisions_Tbl[Credit Decision - قرار الائتمان],"High DBR",Credit_Decisions_Tbl[Date - التاريخ],MAX(Credit_Decisions_Tbl[Date - التاريخ]))</f>
        <v/>
      </c>
      <c r="N6">
        <f>SUMIFS(Credit_Decisions_Tbl[Amounts - المبالغ],Credit_Decisions_Tbl[Credit Decision - قرار الائتمان],"High DBR",Credit_Decisions_Tbl[Date - التاريخ],MAX(Credit_Decisions_Tbl[Date - التاريخ]))</f>
        <v/>
      </c>
      <c r="P6" t="inlineStr">
        <is>
          <t>Want more - يرغب ب اكثر</t>
        </is>
      </c>
      <c r="Q6">
        <f>SUMIFS(Sales_Tbl[Count - العدد],Sales_Tbl[Status - الحالة],"Want more - يرغب ب اكثر",Sales_Tbl[Date - التاريخ],MAX(Sales_Tbl[Date - التاريخ]))</f>
        <v/>
      </c>
      <c r="R6">
        <f>SUMIFS(Sales_Tbl[Amounts - المبالغ],Sales_Tbl[Status - الحالة],"Want more - يرغب ب اكثر",Sales_Tbl[Date - التاريخ],MAX(Sales_Tbl[Date - التاريخ]))</f>
        <v/>
      </c>
      <c r="T6" t="inlineStr">
        <is>
          <t>Calls</t>
        </is>
      </c>
      <c r="U6">
        <f>SUMIFS(Customer_Care_Tbl[Active - نشط],Customer_Care_Tbl[Parameter - المعيار],"Calls",Customer_Care_Tbl[Date - التاريخ],MAX(Customer_Care_Tbl[Date - التاريخ]))</f>
        <v/>
      </c>
      <c r="V6">
        <f>SUMIFS(Customer_Care_Tbl[Close - مغلق],Customer_Care_Tbl[Parameter - المعيار],"Calls",Customer_Care_Tbl[Date - التاريخ],MAX(Customer_Care_Tbl[Date - التاريخ]))</f>
        <v/>
      </c>
      <c r="X6" t="inlineStr">
        <is>
          <t>مدفوعات من خلال سداد تاب - لون</t>
        </is>
      </c>
      <c r="Y6">
        <f>SUMIFS(Collection_Summary_Tbl[Amount - المبلغ],Collection_Summary_Tbl[Item - البند],"مدفوعات من خلال سداد تاب - لون",Collection_Summary_Tbl[Date To - الى],MAX(Collection_Summary_Tbl[Date To - الى]))</f>
        <v/>
      </c>
    </row>
    <row r="7">
      <c r="A7">
        <f>A6+1</f>
        <v/>
      </c>
      <c r="B7">
        <f>IF($A7&gt;TODAY(),"",IFERROR(INDEX(Credit_KPIs_Tbl[Total Financing Amount],MATCH($A7,Credit_KPIs_Tbl[Date - التاريخ],0)),""))</f>
        <v/>
      </c>
      <c r="C7">
        <f>IF($A7&gt;TODAY(),"",IFERROR(INDEX(Credit_KPIs_Tbl[Today Financing Amount],MATCH($A7,Credit_KPIs_Tbl[Date - التاريخ],0)),""))</f>
        <v/>
      </c>
      <c r="D7">
        <f>IF($A7&gt;TODAY(),"",IFERROR(INDEX(Credit_KPIs_Tbl[Total Number Contracts],MATCH($A7,Credit_KPIs_Tbl[Date - التاريخ],0)),""))</f>
        <v/>
      </c>
      <c r="E7">
        <f>IF($A7&gt;TODAY(),"",IFERROR(INDEX(Credit_KPIs_Tbl[Cancelled],MATCH($A7,Credit_KPIs_Tbl[Date - التاريخ],0)),""))</f>
        <v/>
      </c>
      <c r="F7">
        <f>IF($A7&gt;TODAY(),"",SUMIFS(Collection_Summary_Tbl[Amount - المبلغ],Collection_Summary_Tbl[Item - البند],"الاجمالي",Collection_Summary_Tbl[Date To - الى],$A7))</f>
        <v/>
      </c>
      <c r="G7">
        <f>IF($A7&gt;TODAY(),"",SUMIFS(Sales_Tbl[Count - العدد],Sales_Tbl[Date - التاريخ],$A7))</f>
        <v/>
      </c>
      <c r="H7">
        <f>IF($A7&gt;TODAY(),"",SUMIFS(Sales_Tbl[Count - العدد],Sales_Tbl[Status - الحالة],"Accepted - تم التنفيذ",Sales_Tbl[Date - التاريخ],$A7))</f>
        <v/>
      </c>
      <c r="I7">
        <f>IF($A7&gt;TODAY(),"",SUMIFS(Customer_Care_Tbl[Active - نشط],Customer_Care_Tbl[Date - التاريخ],$A7))</f>
        <v/>
      </c>
      <c r="J7">
        <f>IF($A7&gt;TODAY(),"",SUMIFS(Customer_Care_Tbl[Close - مغلق],Customer_Care_Tbl[Date - التاريخ],$A7))</f>
        <v/>
      </c>
      <c r="L7" t="inlineStr">
        <is>
          <t>Salary less minimum</t>
        </is>
      </c>
      <c r="M7">
        <f>SUMIFS(Credit_Decisions_Tbl[Number of Requests - عدد الطلبات],Credit_Decisions_Tbl[Credit Decision - قرار الائتمان],"Salary less minimum",Credit_Decisions_Tbl[Date - التاريخ],MAX(Credit_Decisions_Tbl[Date - التاريخ]))</f>
        <v/>
      </c>
      <c r="N7">
        <f>SUMIFS(Credit_Decisions_Tbl[Amounts - المبالغ],Credit_Decisions_Tbl[Credit Decision - قرار الائتمان],"Salary less minimum",Credit_Decisions_Tbl[Date - التاريخ],MAX(Credit_Decisions_Tbl[Date - التاريخ]))</f>
        <v/>
      </c>
      <c r="P7" t="inlineStr">
        <is>
          <t>Active Loan - الطلب قائم</t>
        </is>
      </c>
      <c r="Q7">
        <f>SUMIFS(Sales_Tbl[Count - العدد],Sales_Tbl[Status - الحالة],"Active Loan - الطلب قائم",Sales_Tbl[Date - التاريخ],MAX(Sales_Tbl[Date - التاريخ]))</f>
        <v/>
      </c>
      <c r="R7">
        <f>SUMIFS(Sales_Tbl[Amounts - المبالغ],Sales_Tbl[Status - الحالة],"Active Loan - الطلب قائم",Sales_Tbl[Date - التاريخ],MAX(Sales_Tbl[Date - التاريخ]))</f>
        <v/>
      </c>
      <c r="T7" t="inlineStr">
        <is>
          <t>Emails</t>
        </is>
      </c>
      <c r="U7">
        <f>SUMIFS(Customer_Care_Tbl[Active - نشط],Customer_Care_Tbl[Parameter - المعيار],"Emails",Customer_Care_Tbl[Date - التاريخ],MAX(Customer_Care_Tbl[Date - التاريخ]))</f>
        <v/>
      </c>
      <c r="V7">
        <f>SUMIFS(Customer_Care_Tbl[Close - مغلق],Customer_Care_Tbl[Parameter - المعيار],"Emails",Customer_Care_Tbl[Date - التاريخ],MAX(Customer_Care_Tbl[Date - التاريخ]))</f>
        <v/>
      </c>
      <c r="X7" t="inlineStr">
        <is>
          <t>مدفوعات من خلال سداد تاب - الصندوق</t>
        </is>
      </c>
      <c r="Y7">
        <f>SUMIFS(Collection_Summary_Tbl[Amount - المبلغ],Collection_Summary_Tbl[Item - البند],"مدفوعات من خلال سداد تاب - الصندوق",Collection_Summary_Tbl[Date To - الى],MAX(Collection_Summary_Tbl[Date To - الى]))</f>
        <v/>
      </c>
    </row>
    <row r="8">
      <c r="A8">
        <f>A7+1</f>
        <v/>
      </c>
      <c r="B8">
        <f>IF($A8&gt;TODAY(),"",IFERROR(INDEX(Credit_KPIs_Tbl[Total Financing Amount],MATCH($A8,Credit_KPIs_Tbl[Date - التاريخ],0)),""))</f>
        <v/>
      </c>
      <c r="C8">
        <f>IF($A8&gt;TODAY(),"",IFERROR(INDEX(Credit_KPIs_Tbl[Today Financing Amount],MATCH($A8,Credit_KPIs_Tbl[Date - التاريخ],0)),""))</f>
        <v/>
      </c>
      <c r="D8">
        <f>IF($A8&gt;TODAY(),"",IFERROR(INDEX(Credit_KPIs_Tbl[Total Number Contracts],MATCH($A8,Credit_KPIs_Tbl[Date - التاريخ],0)),""))</f>
        <v/>
      </c>
      <c r="E8">
        <f>IF($A8&gt;TODAY(),"",IFERROR(INDEX(Credit_KPIs_Tbl[Cancelled],MATCH($A8,Credit_KPIs_Tbl[Date - التاريخ],0)),""))</f>
        <v/>
      </c>
      <c r="F8">
        <f>IF($A8&gt;TODAY(),"",SUMIFS(Collection_Summary_Tbl[Amount - المبلغ],Collection_Summary_Tbl[Item - البند],"الاجمالي",Collection_Summary_Tbl[Date To - الى],$A8))</f>
        <v/>
      </c>
      <c r="G8">
        <f>IF($A8&gt;TODAY(),"",SUMIFS(Sales_Tbl[Count - العدد],Sales_Tbl[Date - التاريخ],$A8))</f>
        <v/>
      </c>
      <c r="H8">
        <f>IF($A8&gt;TODAY(),"",SUMIFS(Sales_Tbl[Count - العدد],Sales_Tbl[Status - الحالة],"Accepted - تم التنفيذ",Sales_Tbl[Date - التاريخ],$A8))</f>
        <v/>
      </c>
      <c r="I8">
        <f>IF($A8&gt;TODAY(),"",SUMIFS(Customer_Care_Tbl[Active - نشط],Customer_Care_Tbl[Date - التاريخ],$A8))</f>
        <v/>
      </c>
      <c r="J8">
        <f>IF($A8&gt;TODAY(),"",SUMIFS(Customer_Care_Tbl[Close - مغلق],Customer_Care_Tbl[Date - التاريخ],$A8))</f>
        <v/>
      </c>
      <c r="L8" t="inlineStr">
        <is>
          <t>Reject (Policy Nationality)</t>
        </is>
      </c>
      <c r="M8">
        <f>SUMIFS(Credit_Decisions_Tbl[Number of Requests - عدد الطلبات],Credit_Decisions_Tbl[Credit Decision - قرار الائتمان],"Reject (Policy Nationality)",Credit_Decisions_Tbl[Date - التاريخ],MAX(Credit_Decisions_Tbl[Date - التاريخ]))</f>
        <v/>
      </c>
      <c r="N8">
        <f>SUMIFS(Credit_Decisions_Tbl[Amounts - المبالغ],Credit_Decisions_Tbl[Credit Decision - قرار الائتمان],"Reject (Policy Nationality)",Credit_Decisions_Tbl[Date - التاريخ],MAX(Credit_Decisions_Tbl[Date - التاريخ]))</f>
        <v/>
      </c>
      <c r="P8" t="inlineStr">
        <is>
          <t>rejected - لايرغب بالتمويل</t>
        </is>
      </c>
      <c r="Q8">
        <f>SUMIFS(Sales_Tbl[Count - العدد],Sales_Tbl[Status - الحالة],"rejected - لايرغب بالتمويل",Sales_Tbl[Date - التاريخ],MAX(Sales_Tbl[Date - التاريخ]))</f>
        <v/>
      </c>
      <c r="R8">
        <f>SUMIFS(Sales_Tbl[Amounts - المبالغ],Sales_Tbl[Status - الحالة],"rejected - لايرغب بالتمويل",Sales_Tbl[Date - التاريخ],MAX(Sales_Tbl[Date - التاريخ]))</f>
        <v/>
      </c>
      <c r="X8" t="inlineStr">
        <is>
          <t>الاجمالي</t>
        </is>
      </c>
      <c r="Y8">
        <f>SUMIFS(Collection_Summary_Tbl[Amount - المبلغ],Collection_Summary_Tbl[Item - البند],"الاجمالي",Collection_Summary_Tbl[Date To - الى],MAX(Collection_Summary_Tbl[Date To - الى]))</f>
        <v/>
      </c>
    </row>
    <row r="9">
      <c r="A9">
        <f>A8+1</f>
        <v/>
      </c>
      <c r="B9">
        <f>IF($A9&gt;TODAY(),"",IFERROR(INDEX(Credit_KPIs_Tbl[Total Financing Amount],MATCH($A9,Credit_KPIs_Tbl[Date - التاريخ],0)),""))</f>
        <v/>
      </c>
      <c r="C9">
        <f>IF($A9&gt;TODAY(),"",IFERROR(INDEX(Credit_KPIs_Tbl[Today Financing Amount],MATCH($A9,Credit_KPIs_Tbl[Date - التاريخ],0)),""))</f>
        <v/>
      </c>
      <c r="D9">
        <f>IF($A9&gt;TODAY(),"",IFERROR(INDEX(Credit_KPIs_Tbl[Total Number Contracts],MATCH($A9,Credit_KPIs_Tbl[Date - التاريخ],0)),""))</f>
        <v/>
      </c>
      <c r="E9">
        <f>IF($A9&gt;TODAY(),"",IFERROR(INDEX(Credit_KPIs_Tbl[Cancelled],MATCH($A9,Credit_KPIs_Tbl[Date - التاريخ],0)),""))</f>
        <v/>
      </c>
      <c r="F9">
        <f>IF($A9&gt;TODAY(),"",SUMIFS(Collection_Summary_Tbl[Amount - المبلغ],Collection_Summary_Tbl[Item - البند],"الاجمالي",Collection_Summary_Tbl[Date To - الى],$A9))</f>
        <v/>
      </c>
      <c r="G9">
        <f>IF($A9&gt;TODAY(),"",SUMIFS(Sales_Tbl[Count - العدد],Sales_Tbl[Date - التاريخ],$A9))</f>
        <v/>
      </c>
      <c r="H9">
        <f>IF($A9&gt;TODAY(),"",SUMIFS(Sales_Tbl[Count - العدد],Sales_Tbl[Status - الحالة],"Accepted - تم التنفيذ",Sales_Tbl[Date - التاريخ],$A9))</f>
        <v/>
      </c>
      <c r="I9">
        <f>IF($A9&gt;TODAY(),"",SUMIFS(Customer_Care_Tbl[Active - نشط],Customer_Care_Tbl[Date - التاريخ],$A9))</f>
        <v/>
      </c>
      <c r="J9">
        <f>IF($A9&gt;TODAY(),"",SUMIFS(Customer_Care_Tbl[Close - مغلق],Customer_Care_Tbl[Date - التاريخ],$A9))</f>
        <v/>
      </c>
      <c r="L9" t="inlineStr">
        <is>
          <t>Reject DPD</t>
        </is>
      </c>
      <c r="M9">
        <f>SUMIFS(Credit_Decisions_Tbl[Number of Requests - عدد الطلبات],Credit_Decisions_Tbl[Credit Decision - قرار الائتمان],"Reject DPD",Credit_Decisions_Tbl[Date - التاريخ],MAX(Credit_Decisions_Tbl[Date - التاريخ]))</f>
        <v/>
      </c>
      <c r="N9">
        <f>SUMIFS(Credit_Decisions_Tbl[Amounts - المبالغ],Credit_Decisions_Tbl[Credit Decision - قرار الائتمان],"Reject DPD",Credit_Decisions_Tbl[Date - التاريخ],MAX(Credit_Decisions_Tbl[Date - التاريخ]))</f>
        <v/>
      </c>
      <c r="P9" t="inlineStr">
        <is>
          <t>Answer - تم التواصل</t>
        </is>
      </c>
      <c r="Q9">
        <f>SUMIFS(Sales_Tbl[Count - العدد],Sales_Tbl[Status - الحالة],"Answer - تم التواصل",Sales_Tbl[Date - التاريخ],MAX(Sales_Tbl[Date - التاريخ]))</f>
        <v/>
      </c>
      <c r="R9">
        <f>SUMIFS(Sales_Tbl[Amounts - المبالغ],Sales_Tbl[Status - الحالة],"Answer - تم التواصل",Sales_Tbl[Date - التاريخ],MAX(Sales_Tbl[Date - التاريخ]))</f>
        <v/>
      </c>
    </row>
    <row r="10">
      <c r="A10">
        <f>A9+1</f>
        <v/>
      </c>
      <c r="B10">
        <f>IF($A10&gt;TODAY(),"",IFERROR(INDEX(Credit_KPIs_Tbl[Total Financing Amount],MATCH($A10,Credit_KPIs_Tbl[Date - التاريخ],0)),""))</f>
        <v/>
      </c>
      <c r="C10">
        <f>IF($A10&gt;TODAY(),"",IFERROR(INDEX(Credit_KPIs_Tbl[Today Financing Amount],MATCH($A10,Credit_KPIs_Tbl[Date - التاريخ],0)),""))</f>
        <v/>
      </c>
      <c r="D10">
        <f>IF($A10&gt;TODAY(),"",IFERROR(INDEX(Credit_KPIs_Tbl[Total Number Contracts],MATCH($A10,Credit_KPIs_Tbl[Date - التاريخ],0)),""))</f>
        <v/>
      </c>
      <c r="E10">
        <f>IF($A10&gt;TODAY(),"",IFERROR(INDEX(Credit_KPIs_Tbl[Cancelled],MATCH($A10,Credit_KPIs_Tbl[Date - التاريخ],0)),""))</f>
        <v/>
      </c>
      <c r="F10">
        <f>IF($A10&gt;TODAY(),"",SUMIFS(Collection_Summary_Tbl[Amount - المبلغ],Collection_Summary_Tbl[Item - البند],"الاجمالي",Collection_Summary_Tbl[Date To - الى],$A10))</f>
        <v/>
      </c>
      <c r="G10">
        <f>IF($A10&gt;TODAY(),"",SUMIFS(Sales_Tbl[Count - العدد],Sales_Tbl[Date - التاريخ],$A10))</f>
        <v/>
      </c>
      <c r="H10">
        <f>IF($A10&gt;TODAY(),"",SUMIFS(Sales_Tbl[Count - العدد],Sales_Tbl[Status - الحالة],"Accepted - تم التنفيذ",Sales_Tbl[Date - التاريخ],$A10))</f>
        <v/>
      </c>
      <c r="I10">
        <f>IF($A10&gt;TODAY(),"",SUMIFS(Customer_Care_Tbl[Active - نشط],Customer_Care_Tbl[Date - التاريخ],$A10))</f>
        <v/>
      </c>
      <c r="J10">
        <f>IF($A10&gt;TODAY(),"",SUMIFS(Customer_Care_Tbl[Close - مغلق],Customer_Care_Tbl[Date - التاريخ],$A10))</f>
        <v/>
      </c>
      <c r="L10" t="inlineStr">
        <is>
          <t>Bad Credit History</t>
        </is>
      </c>
      <c r="M10">
        <f>SUMIFS(Credit_Decisions_Tbl[Number of Requests - عدد الطلبات],Credit_Decisions_Tbl[Credit Decision - قرار الائتمان],"Bad Credit History",Credit_Decisions_Tbl[Date - التاريخ],MAX(Credit_Decisions_Tbl[Date - التاريخ]))</f>
        <v/>
      </c>
      <c r="N10">
        <f>SUMIFS(Credit_Decisions_Tbl[Amounts - المبالغ],Credit_Decisions_Tbl[Credit Decision - قرار الائتمان],"Bad Credit History",Credit_Decisions_Tbl[Date - التاريخ],MAX(Credit_Decisions_Tbl[Date - التاريخ]))</f>
        <v/>
      </c>
      <c r="P10" t="inlineStr">
        <is>
          <t>Not eligible - غير مستحق</t>
        </is>
      </c>
      <c r="Q10">
        <f>SUMIFS(Sales_Tbl[Count - العدد],Sales_Tbl[Status - الحالة],"Not eligible - غير مستحق",Sales_Tbl[Date - التاريخ],MAX(Sales_Tbl[Date - التاريخ]))</f>
        <v/>
      </c>
      <c r="R10">
        <f>SUMIFS(Sales_Tbl[Amounts - المبالغ],Sales_Tbl[Status - الحالة],"Not eligible - غير مستحق",Sales_Tbl[Date - التاريخ],MAX(Sales_Tbl[Date - التاريخ]))</f>
        <v/>
      </c>
    </row>
    <row r="11">
      <c r="A11">
        <f>A10+1</f>
        <v/>
      </c>
      <c r="B11">
        <f>IF($A11&gt;TODAY(),"",IFERROR(INDEX(Credit_KPIs_Tbl[Total Financing Amount],MATCH($A11,Credit_KPIs_Tbl[Date - التاريخ],0)),""))</f>
        <v/>
      </c>
      <c r="C11">
        <f>IF($A11&gt;TODAY(),"",IFERROR(INDEX(Credit_KPIs_Tbl[Today Financing Amount],MATCH($A11,Credit_KPIs_Tbl[Date - التاريخ],0)),""))</f>
        <v/>
      </c>
      <c r="D11">
        <f>IF($A11&gt;TODAY(),"",IFERROR(INDEX(Credit_KPIs_Tbl[Total Number Contracts],MATCH($A11,Credit_KPIs_Tbl[Date - التاريخ],0)),""))</f>
        <v/>
      </c>
      <c r="E11">
        <f>IF($A11&gt;TODAY(),"",IFERROR(INDEX(Credit_KPIs_Tbl[Cancelled],MATCH($A11,Credit_KPIs_Tbl[Date - التاريخ],0)),""))</f>
        <v/>
      </c>
      <c r="F11">
        <f>IF($A11&gt;TODAY(),"",SUMIFS(Collection_Summary_Tbl[Amount - المبلغ],Collection_Summary_Tbl[Item - البند],"الاجمالي",Collection_Summary_Tbl[Date To - الى],$A11))</f>
        <v/>
      </c>
      <c r="G11">
        <f>IF($A11&gt;TODAY(),"",SUMIFS(Sales_Tbl[Count - العدد],Sales_Tbl[Date - التاريخ],$A11))</f>
        <v/>
      </c>
      <c r="H11">
        <f>IF($A11&gt;TODAY(),"",SUMIFS(Sales_Tbl[Count - العدد],Sales_Tbl[Status - الحالة],"Accepted - تم التنفيذ",Sales_Tbl[Date - التاريخ],$A11))</f>
        <v/>
      </c>
      <c r="I11">
        <f>IF($A11&gt;TODAY(),"",SUMIFS(Customer_Care_Tbl[Active - نشط],Customer_Care_Tbl[Date - التاريخ],$A11))</f>
        <v/>
      </c>
      <c r="J11">
        <f>IF($A11&gt;TODAY(),"",SUMIFS(Customer_Care_Tbl[Close - مغلق],Customer_Care_Tbl[Date - التاريخ],$A11))</f>
        <v/>
      </c>
      <c r="L11" t="inlineStr">
        <is>
          <t>Age less minimum</t>
        </is>
      </c>
      <c r="M11">
        <f>SUMIFS(Credit_Decisions_Tbl[Number of Requests - عدد الطلبات],Credit_Decisions_Tbl[Credit Decision - قرار الائتمان],"Age less minimum",Credit_Decisions_Tbl[Date - التاريخ],MAX(Credit_Decisions_Tbl[Date - التاريخ]))</f>
        <v/>
      </c>
      <c r="N11">
        <f>SUMIFS(Credit_Decisions_Tbl[Amounts - المبالغ],Credit_Decisions_Tbl[Credit Decision - قرار الائتمان],"Age less minimum",Credit_Decisions_Tbl[Date - التاريخ],MAX(Credit_Decisions_Tbl[Date - التاريخ]))</f>
        <v/>
      </c>
      <c r="P11" t="inlineStr">
        <is>
          <t>No Answer - لم يتم الرد</t>
        </is>
      </c>
      <c r="Q11">
        <f>SUMIFS(Sales_Tbl[Count - العدد],Sales_Tbl[Status - الحالة],"No Answer - لم يتم الرد",Sales_Tbl[Date - التاريخ],MAX(Sales_Tbl[Date - التاريخ]))</f>
        <v/>
      </c>
      <c r="R11">
        <f>SUMIFS(Sales_Tbl[Amounts - المبالغ],Sales_Tbl[Status - الحالة],"No Answer - لم يتم الرد",Sales_Tbl[Date - التاريخ],MAX(Sales_Tbl[Date - التاريخ]))</f>
        <v/>
      </c>
    </row>
    <row r="12">
      <c r="A12">
        <f>A11+1</f>
        <v/>
      </c>
      <c r="B12">
        <f>IF($A12&gt;TODAY(),"",IFERROR(INDEX(Credit_KPIs_Tbl[Total Financing Amount],MATCH($A12,Credit_KPIs_Tbl[Date - التاريخ],0)),""))</f>
        <v/>
      </c>
      <c r="C12">
        <f>IF($A12&gt;TODAY(),"",IFERROR(INDEX(Credit_KPIs_Tbl[Today Financing Amount],MATCH($A12,Credit_KPIs_Tbl[Date - التاريخ],0)),""))</f>
        <v/>
      </c>
      <c r="D12">
        <f>IF($A12&gt;TODAY(),"",IFERROR(INDEX(Credit_KPIs_Tbl[Total Number Contracts],MATCH($A12,Credit_KPIs_Tbl[Date - التاريخ],0)),""))</f>
        <v/>
      </c>
      <c r="E12">
        <f>IF($A12&gt;TODAY(),"",IFERROR(INDEX(Credit_KPIs_Tbl[Cancelled],MATCH($A12,Credit_KPIs_Tbl[Date - التاريخ],0)),""))</f>
        <v/>
      </c>
      <c r="F12">
        <f>IF($A12&gt;TODAY(),"",SUMIFS(Collection_Summary_Tbl[Amount - المبلغ],Collection_Summary_Tbl[Item - البند],"الاجمالي",Collection_Summary_Tbl[Date To - الى],$A12))</f>
        <v/>
      </c>
      <c r="G12">
        <f>IF($A12&gt;TODAY(),"",SUMIFS(Sales_Tbl[Count - العدد],Sales_Tbl[Date - التاريخ],$A12))</f>
        <v/>
      </c>
      <c r="H12">
        <f>IF($A12&gt;TODAY(),"",SUMIFS(Sales_Tbl[Count - العدد],Sales_Tbl[Status - الحالة],"Accepted - تم التنفيذ",Sales_Tbl[Date - التاريخ],$A12))</f>
        <v/>
      </c>
      <c r="I12">
        <f>IF($A12&gt;TODAY(),"",SUMIFS(Customer_Care_Tbl[Active - نشط],Customer_Care_Tbl[Date - التاريخ],$A12))</f>
        <v/>
      </c>
      <c r="J12">
        <f>IF($A12&gt;TODAY(),"",SUMIFS(Customer_Care_Tbl[Close - مغلق],Customer_Care_Tbl[Date - التاريخ],$A12))</f>
        <v/>
      </c>
      <c r="L12" t="inlineStr">
        <is>
          <t>Length of service less minimum</t>
        </is>
      </c>
      <c r="M12">
        <f>SUMIFS(Credit_Decisions_Tbl[Number of Requests - عدد الطلبات],Credit_Decisions_Tbl[Credit Decision - قرار الائتمان],"Length of service less minimum",Credit_Decisions_Tbl[Date - التاريخ],MAX(Credit_Decisions_Tbl[Date - التاريخ]))</f>
        <v/>
      </c>
      <c r="N12">
        <f>SUMIFS(Credit_Decisions_Tbl[Amounts - المبالغ],Credit_Decisions_Tbl[Credit Decision - قرار الائتمان],"Length of service less minimum",Credit_Decisions_Tbl[Date - التاريخ],MAX(Credit_Decisions_Tbl[Date - التاريخ]))</f>
        <v/>
      </c>
    </row>
    <row r="13">
      <c r="A13">
        <f>A12+1</f>
        <v/>
      </c>
      <c r="B13">
        <f>IF($A13&gt;TODAY(),"",IFERROR(INDEX(Credit_KPIs_Tbl[Total Financing Amount],MATCH($A13,Credit_KPIs_Tbl[Date - التاريخ],0)),""))</f>
        <v/>
      </c>
      <c r="C13">
        <f>IF($A13&gt;TODAY(),"",IFERROR(INDEX(Credit_KPIs_Tbl[Today Financing Amount],MATCH($A13,Credit_KPIs_Tbl[Date - التاريخ],0)),""))</f>
        <v/>
      </c>
      <c r="D13">
        <f>IF($A13&gt;TODAY(),"",IFERROR(INDEX(Credit_KPIs_Tbl[Total Number Contracts],MATCH($A13,Credit_KPIs_Tbl[Date - التاريخ],0)),""))</f>
        <v/>
      </c>
      <c r="E13">
        <f>IF($A13&gt;TODAY(),"",IFERROR(INDEX(Credit_KPIs_Tbl[Cancelled],MATCH($A13,Credit_KPIs_Tbl[Date - التاريخ],0)),""))</f>
        <v/>
      </c>
      <c r="F13">
        <f>IF($A13&gt;TODAY(),"",SUMIFS(Collection_Summary_Tbl[Amount - المبلغ],Collection_Summary_Tbl[Item - البند],"الاجمالي",Collection_Summary_Tbl[Date To - الى],$A13))</f>
        <v/>
      </c>
      <c r="G13">
        <f>IF($A13&gt;TODAY(),"",SUMIFS(Sales_Tbl[Count - العدد],Sales_Tbl[Date - التاريخ],$A13))</f>
        <v/>
      </c>
      <c r="H13">
        <f>IF($A13&gt;TODAY(),"",SUMIFS(Sales_Tbl[Count - العدد],Sales_Tbl[Status - الحالة],"Accepted - تم التنفيذ",Sales_Tbl[Date - التاريخ],$A13))</f>
        <v/>
      </c>
      <c r="I13">
        <f>IF($A13&gt;TODAY(),"",SUMIFS(Customer_Care_Tbl[Active - نشط],Customer_Care_Tbl[Date - التاريخ],$A13))</f>
        <v/>
      </c>
      <c r="J13">
        <f>IF($A13&gt;TODAY(),"",SUMIFS(Customer_Care_Tbl[Close - مغلق],Customer_Care_Tbl[Date - التاريخ],$A13))</f>
        <v/>
      </c>
      <c r="L13" t="inlineStr">
        <is>
          <t>Retired</t>
        </is>
      </c>
      <c r="M13">
        <f>SUMIFS(Credit_Decisions_Tbl[Number of Requests - عدد الطلبات],Credit_Decisions_Tbl[Credit Decision - قرار الائتمان],"Retired",Credit_Decisions_Tbl[Date - التاريخ],MAX(Credit_Decisions_Tbl[Date - التاريخ]))</f>
        <v/>
      </c>
      <c r="N13">
        <f>SUMIFS(Credit_Decisions_Tbl[Amounts - المبالغ],Credit_Decisions_Tbl[Credit Decision - قرار الائتمان],"Retired",Credit_Decisions_Tbl[Date - التاريخ],MAX(Credit_Decisions_Tbl[Date - التاريخ]))</f>
        <v/>
      </c>
    </row>
    <row r="14">
      <c r="A14">
        <f>A13+1</f>
        <v/>
      </c>
      <c r="B14">
        <f>IF($A14&gt;TODAY(),"",IFERROR(INDEX(Credit_KPIs_Tbl[Total Financing Amount],MATCH($A14,Credit_KPIs_Tbl[Date - التاريخ],0)),""))</f>
        <v/>
      </c>
      <c r="C14">
        <f>IF($A14&gt;TODAY(),"",IFERROR(INDEX(Credit_KPIs_Tbl[Today Financing Amount],MATCH($A14,Credit_KPIs_Tbl[Date - التاريخ],0)),""))</f>
        <v/>
      </c>
      <c r="D14">
        <f>IF($A14&gt;TODAY(),"",IFERROR(INDEX(Credit_KPIs_Tbl[Total Number Contracts],MATCH($A14,Credit_KPIs_Tbl[Date - التاريخ],0)),""))</f>
        <v/>
      </c>
      <c r="E14">
        <f>IF($A14&gt;TODAY(),"",IFERROR(INDEX(Credit_KPIs_Tbl[Cancelled],MATCH($A14,Credit_KPIs_Tbl[Date - التاريخ],0)),""))</f>
        <v/>
      </c>
      <c r="F14">
        <f>IF($A14&gt;TODAY(),"",SUMIFS(Collection_Summary_Tbl[Amount - المبلغ],Collection_Summary_Tbl[Item - البند],"الاجمالي",Collection_Summary_Tbl[Date To - الى],$A14))</f>
        <v/>
      </c>
      <c r="G14">
        <f>IF($A14&gt;TODAY(),"",SUMIFS(Sales_Tbl[Count - العدد],Sales_Tbl[Date - التاريخ],$A14))</f>
        <v/>
      </c>
      <c r="H14">
        <f>IF($A14&gt;TODAY(),"",SUMIFS(Sales_Tbl[Count - العدد],Sales_Tbl[Status - الحالة],"Accepted - تم التنفيذ",Sales_Tbl[Date - التاريخ],$A14))</f>
        <v/>
      </c>
      <c r="I14">
        <f>IF($A14&gt;TODAY(),"",SUMIFS(Customer_Care_Tbl[Active - نشط],Customer_Care_Tbl[Date - التاريخ],$A14))</f>
        <v/>
      </c>
      <c r="J14">
        <f>IF($A14&gt;TODAY(),"",SUMIFS(Customer_Care_Tbl[Close - مغلق],Customer_Care_Tbl[Date - التاريخ],$A14))</f>
        <v/>
      </c>
      <c r="L14" t="inlineStr">
        <is>
          <t>Reject.Documents</t>
        </is>
      </c>
      <c r="M14">
        <f>SUMIFS(Credit_Decisions_Tbl[Number of Requests - عدد الطلبات],Credit_Decisions_Tbl[Credit Decision - قرار الائتمان],"Reject.Documents",Credit_Decisions_Tbl[Date - التاريخ],MAX(Credit_Decisions_Tbl[Date - التاريخ]))</f>
        <v/>
      </c>
      <c r="N14">
        <f>SUMIFS(Credit_Decisions_Tbl[Amounts - المبالغ],Credit_Decisions_Tbl[Credit Decision - قرار الائتمان],"Reject.Documents",Credit_Decisions_Tbl[Date - التاريخ],MAX(Credit_Decisions_Tbl[Date - التاريخ]))</f>
        <v/>
      </c>
    </row>
    <row r="15">
      <c r="A15">
        <f>A14+1</f>
        <v/>
      </c>
      <c r="B15">
        <f>IF($A15&gt;TODAY(),"",IFERROR(INDEX(Credit_KPIs_Tbl[Total Financing Amount],MATCH($A15,Credit_KPIs_Tbl[Date - التاريخ],0)),""))</f>
        <v/>
      </c>
      <c r="C15">
        <f>IF($A15&gt;TODAY(),"",IFERROR(INDEX(Credit_KPIs_Tbl[Today Financing Amount],MATCH($A15,Credit_KPIs_Tbl[Date - التاريخ],0)),""))</f>
        <v/>
      </c>
      <c r="D15">
        <f>IF($A15&gt;TODAY(),"",IFERROR(INDEX(Credit_KPIs_Tbl[Total Number Contracts],MATCH($A15,Credit_KPIs_Tbl[Date - التاريخ],0)),""))</f>
        <v/>
      </c>
      <c r="E15">
        <f>IF($A15&gt;TODAY(),"",IFERROR(INDEX(Credit_KPIs_Tbl[Cancelled],MATCH($A15,Credit_KPIs_Tbl[Date - التاريخ],0)),""))</f>
        <v/>
      </c>
      <c r="F15">
        <f>IF($A15&gt;TODAY(),"",SUMIFS(Collection_Summary_Tbl[Amount - المبلغ],Collection_Summary_Tbl[Item - البند],"الاجمالي",Collection_Summary_Tbl[Date To - الى],$A15))</f>
        <v/>
      </c>
      <c r="G15">
        <f>IF($A15&gt;TODAY(),"",SUMIFS(Sales_Tbl[Count - العدد],Sales_Tbl[Date - التاريخ],$A15))</f>
        <v/>
      </c>
      <c r="H15">
        <f>IF($A15&gt;TODAY(),"",SUMIFS(Sales_Tbl[Count - العدد],Sales_Tbl[Status - الحالة],"Accepted - تم التنفيذ",Sales_Tbl[Date - التاريخ],$A15))</f>
        <v/>
      </c>
      <c r="I15">
        <f>IF($A15&gt;TODAY(),"",SUMIFS(Customer_Care_Tbl[Active - نشط],Customer_Care_Tbl[Date - التاريخ],$A15))</f>
        <v/>
      </c>
      <c r="J15">
        <f>IF($A15&gt;TODAY(),"",SUMIFS(Customer_Care_Tbl[Close - مغلق],Customer_Care_Tbl[Date - التاريخ],$A15))</f>
        <v/>
      </c>
      <c r="L15" t="inlineStr">
        <is>
          <t>Fraud.</t>
        </is>
      </c>
      <c r="M15">
        <f>SUMIFS(Credit_Decisions_Tbl[Number of Requests - عدد الطلبات],Credit_Decisions_Tbl[Credit Decision - قرار الائتمان],"Fraud.",Credit_Decisions_Tbl[Date - التاريخ],MAX(Credit_Decisions_Tbl[Date - التاريخ]))</f>
        <v/>
      </c>
      <c r="N15">
        <f>SUMIFS(Credit_Decisions_Tbl[Amounts - المبالغ],Credit_Decisions_Tbl[Credit Decision - قرار الائتمان],"Fraud.",Credit_Decisions_Tbl[Date - التاريخ],MAX(Credit_Decisions_Tbl[Date - التاريخ]))</f>
        <v/>
      </c>
    </row>
    <row r="16">
      <c r="A16">
        <f>A15+1</f>
        <v/>
      </c>
      <c r="B16">
        <f>IF($A16&gt;TODAY(),"",IFERROR(INDEX(Credit_KPIs_Tbl[Total Financing Amount],MATCH($A16,Credit_KPIs_Tbl[Date - التاريخ],0)),""))</f>
        <v/>
      </c>
      <c r="C16">
        <f>IF($A16&gt;TODAY(),"",IFERROR(INDEX(Credit_KPIs_Tbl[Today Financing Amount],MATCH($A16,Credit_KPIs_Tbl[Date - التاريخ],0)),""))</f>
        <v/>
      </c>
      <c r="D16">
        <f>IF($A16&gt;TODAY(),"",IFERROR(INDEX(Credit_KPIs_Tbl[Total Number Contracts],MATCH($A16,Credit_KPIs_Tbl[Date - التاريخ],0)),""))</f>
        <v/>
      </c>
      <c r="E16">
        <f>IF($A16&gt;TODAY(),"",IFERROR(INDEX(Credit_KPIs_Tbl[Cancelled],MATCH($A16,Credit_KPIs_Tbl[Date - التاريخ],0)),""))</f>
        <v/>
      </c>
      <c r="F16">
        <f>IF($A16&gt;TODAY(),"",SUMIFS(Collection_Summary_Tbl[Amount - المبلغ],Collection_Summary_Tbl[Item - البند],"الاجمالي",Collection_Summary_Tbl[Date To - الى],$A16))</f>
        <v/>
      </c>
      <c r="G16">
        <f>IF($A16&gt;TODAY(),"",SUMIFS(Sales_Tbl[Count - العدد],Sales_Tbl[Date - التاريخ],$A16))</f>
        <v/>
      </c>
      <c r="H16">
        <f>IF($A16&gt;TODAY(),"",SUMIFS(Sales_Tbl[Count - العدد],Sales_Tbl[Status - الحالة],"Accepted - تم التنفيذ",Sales_Tbl[Date - التاريخ],$A16))</f>
        <v/>
      </c>
      <c r="I16">
        <f>IF($A16&gt;TODAY(),"",SUMIFS(Customer_Care_Tbl[Active - نشط],Customer_Care_Tbl[Date - التاريخ],$A16))</f>
        <v/>
      </c>
      <c r="J16">
        <f>IF($A16&gt;TODAY(),"",SUMIFS(Customer_Care_Tbl[Close - مغلق],Customer_Care_Tbl[Date - التاريخ],$A16))</f>
        <v/>
      </c>
      <c r="L16" t="inlineStr">
        <is>
          <t>Retirement Age</t>
        </is>
      </c>
      <c r="M16">
        <f>SUMIFS(Credit_Decisions_Tbl[Number of Requests - عدد الطلبات],Credit_Decisions_Tbl[Credit Decision - قرار الائتمان],"Retirement Age",Credit_Decisions_Tbl[Date - التاريخ],MAX(Credit_Decisions_Tbl[Date - التاريخ]))</f>
        <v/>
      </c>
      <c r="N16">
        <f>SUMIFS(Credit_Decisions_Tbl[Amounts - المبالغ],Credit_Decisions_Tbl[Credit Decision - قرار الائتمان],"Retirement Age",Credit_Decisions_Tbl[Date - التاريخ],MAX(Credit_Decisions_Tbl[Date - التاريخ]))</f>
        <v/>
      </c>
    </row>
    <row r="17">
      <c r="A17">
        <f>A16+1</f>
        <v/>
      </c>
      <c r="B17">
        <f>IF($A17&gt;TODAY(),"",IFERROR(INDEX(Credit_KPIs_Tbl[Total Financing Amount],MATCH($A17,Credit_KPIs_Tbl[Date - التاريخ],0)),""))</f>
        <v/>
      </c>
      <c r="C17">
        <f>IF($A17&gt;TODAY(),"",IFERROR(INDEX(Credit_KPIs_Tbl[Today Financing Amount],MATCH($A17,Credit_KPIs_Tbl[Date - التاريخ],0)),""))</f>
        <v/>
      </c>
      <c r="D17">
        <f>IF($A17&gt;TODAY(),"",IFERROR(INDEX(Credit_KPIs_Tbl[Total Number Contracts],MATCH($A17,Credit_KPIs_Tbl[Date - التاريخ],0)),""))</f>
        <v/>
      </c>
      <c r="E17">
        <f>IF($A17&gt;TODAY(),"",IFERROR(INDEX(Credit_KPIs_Tbl[Cancelled],MATCH($A17,Credit_KPIs_Tbl[Date - التاريخ],0)),""))</f>
        <v/>
      </c>
      <c r="F17">
        <f>IF($A17&gt;TODAY(),"",SUMIFS(Collection_Summary_Tbl[Amount - المبلغ],Collection_Summary_Tbl[Item - البند],"الاجمالي",Collection_Summary_Tbl[Date To - الى],$A17))</f>
        <v/>
      </c>
      <c r="G17">
        <f>IF($A17&gt;TODAY(),"",SUMIFS(Sales_Tbl[Count - العدد],Sales_Tbl[Date - التاريخ],$A17))</f>
        <v/>
      </c>
      <c r="H17">
        <f>IF($A17&gt;TODAY(),"",SUMIFS(Sales_Tbl[Count - العدد],Sales_Tbl[Status - الحالة],"Accepted - تم التنفيذ",Sales_Tbl[Date - التاريخ],$A17))</f>
        <v/>
      </c>
      <c r="I17">
        <f>IF($A17&gt;TODAY(),"",SUMIFS(Customer_Care_Tbl[Active - نشط],Customer_Care_Tbl[Date - التاريخ],$A17))</f>
        <v/>
      </c>
      <c r="J17">
        <f>IF($A17&gt;TODAY(),"",SUMIFS(Customer_Care_Tbl[Close - مغلق],Customer_Care_Tbl[Date - التاريخ],$A17))</f>
        <v/>
      </c>
      <c r="L17" t="inlineStr">
        <is>
          <t>high risk</t>
        </is>
      </c>
      <c r="M17">
        <f>SUMIFS(Credit_Decisions_Tbl[Number of Requests - عدد الطلبات],Credit_Decisions_Tbl[Credit Decision - قرار الائتمان],"high risk",Credit_Decisions_Tbl[Date - التاريخ],MAX(Credit_Decisions_Tbl[Date - التاريخ]))</f>
        <v/>
      </c>
      <c r="N17">
        <f>SUMIFS(Credit_Decisions_Tbl[Amounts - المبالغ],Credit_Decisions_Tbl[Credit Decision - قرار الائتمان],"high risk",Credit_Decisions_Tbl[Date - التاريخ],MAX(Credit_Decisions_Tbl[Date - التاريخ]))</f>
        <v/>
      </c>
    </row>
    <row r="18">
      <c r="A18">
        <f>A17+1</f>
        <v/>
      </c>
      <c r="B18">
        <f>IF($A18&gt;TODAY(),"",IFERROR(INDEX(Credit_KPIs_Tbl[Total Financing Amount],MATCH($A18,Credit_KPIs_Tbl[Date - التاريخ],0)),""))</f>
        <v/>
      </c>
      <c r="C18">
        <f>IF($A18&gt;TODAY(),"",IFERROR(INDEX(Credit_KPIs_Tbl[Today Financing Amount],MATCH($A18,Credit_KPIs_Tbl[Date - التاريخ],0)),""))</f>
        <v/>
      </c>
      <c r="D18">
        <f>IF($A18&gt;TODAY(),"",IFERROR(INDEX(Credit_KPIs_Tbl[Total Number Contracts],MATCH($A18,Credit_KPIs_Tbl[Date - التاريخ],0)),""))</f>
        <v/>
      </c>
      <c r="E18">
        <f>IF($A18&gt;TODAY(),"",IFERROR(INDEX(Credit_KPIs_Tbl[Cancelled],MATCH($A18,Credit_KPIs_Tbl[Date - التاريخ],0)),""))</f>
        <v/>
      </c>
      <c r="F18">
        <f>IF($A18&gt;TODAY(),"",SUMIFS(Collection_Summary_Tbl[Amount - المبلغ],Collection_Summary_Tbl[Item - البند],"الاجمالي",Collection_Summary_Tbl[Date To - الى],$A18))</f>
        <v/>
      </c>
      <c r="G18">
        <f>IF($A18&gt;TODAY(),"",SUMIFS(Sales_Tbl[Count - العدد],Sales_Tbl[Date - التاريخ],$A18))</f>
        <v/>
      </c>
      <c r="H18">
        <f>IF($A18&gt;TODAY(),"",SUMIFS(Sales_Tbl[Count - العدد],Sales_Tbl[Status - الحالة],"Accepted - تم التنفيذ",Sales_Tbl[Date - التاريخ],$A18))</f>
        <v/>
      </c>
      <c r="I18">
        <f>IF($A18&gt;TODAY(),"",SUMIFS(Customer_Care_Tbl[Active - نشط],Customer_Care_Tbl[Date - التاريخ],$A18))</f>
        <v/>
      </c>
      <c r="J18">
        <f>IF($A18&gt;TODAY(),"",SUMIFS(Customer_Care_Tbl[Close - مغلق],Customer_Care_Tbl[Date - التاريخ],$A18))</f>
        <v/>
      </c>
      <c r="L18" t="inlineStr">
        <is>
          <t>Reject No Documents</t>
        </is>
      </c>
      <c r="M18">
        <f>SUMIFS(Credit_Decisions_Tbl[Number of Requests - عدد الطلبات],Credit_Decisions_Tbl[Credit Decision - قرار الائتمان],"Reject No Documents",Credit_Decisions_Tbl[Date - التاريخ],MAX(Credit_Decisions_Tbl[Date - التاريخ]))</f>
        <v/>
      </c>
      <c r="N18">
        <f>SUMIFS(Credit_Decisions_Tbl[Amounts - المبالغ],Credit_Decisions_Tbl[Credit Decision - قرار الائتمان],"Reject No Documents",Credit_Decisions_Tbl[Date - التاريخ],MAX(Credit_Decisions_Tbl[Date - التاريخ]))</f>
        <v/>
      </c>
    </row>
    <row r="19">
      <c r="A19">
        <f>A18+1</f>
        <v/>
      </c>
      <c r="B19">
        <f>IF($A19&gt;TODAY(),"",IFERROR(INDEX(Credit_KPIs_Tbl[Total Financing Amount],MATCH($A19,Credit_KPIs_Tbl[Date - التاريخ],0)),""))</f>
        <v/>
      </c>
      <c r="C19">
        <f>IF($A19&gt;TODAY(),"",IFERROR(INDEX(Credit_KPIs_Tbl[Today Financing Amount],MATCH($A19,Credit_KPIs_Tbl[Date - التاريخ],0)),""))</f>
        <v/>
      </c>
      <c r="D19">
        <f>IF($A19&gt;TODAY(),"",IFERROR(INDEX(Credit_KPIs_Tbl[Total Number Contracts],MATCH($A19,Credit_KPIs_Tbl[Date - التاريخ],0)),""))</f>
        <v/>
      </c>
      <c r="E19">
        <f>IF($A19&gt;TODAY(),"",IFERROR(INDEX(Credit_KPIs_Tbl[Cancelled],MATCH($A19,Credit_KPIs_Tbl[Date - التاريخ],0)),""))</f>
        <v/>
      </c>
      <c r="F19">
        <f>IF($A19&gt;TODAY(),"",SUMIFS(Collection_Summary_Tbl[Amount - المبلغ],Collection_Summary_Tbl[Item - البند],"الاجمالي",Collection_Summary_Tbl[Date To - الى],$A19))</f>
        <v/>
      </c>
      <c r="G19">
        <f>IF($A19&gt;TODAY(),"",SUMIFS(Sales_Tbl[Count - العدد],Sales_Tbl[Date - التاريخ],$A19))</f>
        <v/>
      </c>
      <c r="H19">
        <f>IF($A19&gt;TODAY(),"",SUMIFS(Sales_Tbl[Count - العدد],Sales_Tbl[Status - الحالة],"Accepted - تم التنفيذ",Sales_Tbl[Date - التاريخ],$A19))</f>
        <v/>
      </c>
      <c r="I19">
        <f>IF($A19&gt;TODAY(),"",SUMIFS(Customer_Care_Tbl[Active - نشط],Customer_Care_Tbl[Date - التاريخ],$A19))</f>
        <v/>
      </c>
      <c r="J19">
        <f>IF($A19&gt;TODAY(),"",SUMIFS(Customer_Care_Tbl[Close - مغلق],Customer_Care_Tbl[Date - التاريخ],$A19))</f>
        <v/>
      </c>
      <c r="L19" t="inlineStr">
        <is>
          <t>Rejected by client</t>
        </is>
      </c>
      <c r="M19">
        <f>SUMIFS(Credit_Decisions_Tbl[Number of Requests - عدد الطلبات],Credit_Decisions_Tbl[Credit Decision - قرار الائتمان],"Rejected by client",Credit_Decisions_Tbl[Date - التاريخ],MAX(Credit_Decisions_Tbl[Date - التاريخ]))</f>
        <v/>
      </c>
      <c r="N19">
        <f>SUMIFS(Credit_Decisions_Tbl[Amounts - المبالغ],Credit_Decisions_Tbl[Credit Decision - قرار الائتمان],"Rejected by client",Credit_Decisions_Tbl[Date - التاريخ],MAX(Credit_Decisions_Tbl[Date - التاريخ]))</f>
        <v/>
      </c>
    </row>
    <row r="20">
      <c r="A20">
        <f>A19+1</f>
        <v/>
      </c>
      <c r="B20">
        <f>IF($A20&gt;TODAY(),"",IFERROR(INDEX(Credit_KPIs_Tbl[Total Financing Amount],MATCH($A20,Credit_KPIs_Tbl[Date - التاريخ],0)),""))</f>
        <v/>
      </c>
      <c r="C20">
        <f>IF($A20&gt;TODAY(),"",IFERROR(INDEX(Credit_KPIs_Tbl[Today Financing Amount],MATCH($A20,Credit_KPIs_Tbl[Date - التاريخ],0)),""))</f>
        <v/>
      </c>
      <c r="D20">
        <f>IF($A20&gt;TODAY(),"",IFERROR(INDEX(Credit_KPIs_Tbl[Total Number Contracts],MATCH($A20,Credit_KPIs_Tbl[Date - التاريخ],0)),""))</f>
        <v/>
      </c>
      <c r="E20">
        <f>IF($A20&gt;TODAY(),"",IFERROR(INDEX(Credit_KPIs_Tbl[Cancelled],MATCH($A20,Credit_KPIs_Tbl[Date - التاريخ],0)),""))</f>
        <v/>
      </c>
      <c r="F20">
        <f>IF($A20&gt;TODAY(),"",SUMIFS(Collection_Summary_Tbl[Amount - المبلغ],Collection_Summary_Tbl[Item - البند],"الاجمالي",Collection_Summary_Tbl[Date To - الى],$A20))</f>
        <v/>
      </c>
      <c r="G20">
        <f>IF($A20&gt;TODAY(),"",SUMIFS(Sales_Tbl[Count - العدد],Sales_Tbl[Date - التاريخ],$A20))</f>
        <v/>
      </c>
      <c r="H20">
        <f>IF($A20&gt;TODAY(),"",SUMIFS(Sales_Tbl[Count - العدد],Sales_Tbl[Status - الحالة],"Accepted - تم التنفيذ",Sales_Tbl[Date - التاريخ],$A20))</f>
        <v/>
      </c>
      <c r="I20">
        <f>IF($A20&gt;TODAY(),"",SUMIFS(Customer_Care_Tbl[Active - نشط],Customer_Care_Tbl[Date - التاريخ],$A20))</f>
        <v/>
      </c>
      <c r="J20">
        <f>IF($A20&gt;TODAY(),"",SUMIFS(Customer_Care_Tbl[Close - مغلق],Customer_Care_Tbl[Date - التاريخ],$A20))</f>
        <v/>
      </c>
    </row>
    <row r="21">
      <c r="A21">
        <f>A20+1</f>
        <v/>
      </c>
      <c r="B21">
        <f>IF($A21&gt;TODAY(),"",IFERROR(INDEX(Credit_KPIs_Tbl[Total Financing Amount],MATCH($A21,Credit_KPIs_Tbl[Date - التاريخ],0)),""))</f>
        <v/>
      </c>
      <c r="C21">
        <f>IF($A21&gt;TODAY(),"",IFERROR(INDEX(Credit_KPIs_Tbl[Today Financing Amount],MATCH($A21,Credit_KPIs_Tbl[Date - التاريخ],0)),""))</f>
        <v/>
      </c>
      <c r="D21">
        <f>IF($A21&gt;TODAY(),"",IFERROR(INDEX(Credit_KPIs_Tbl[Total Number Contracts],MATCH($A21,Credit_KPIs_Tbl[Date - التاريخ],0)),""))</f>
        <v/>
      </c>
      <c r="E21">
        <f>IF($A21&gt;TODAY(),"",IFERROR(INDEX(Credit_KPIs_Tbl[Cancelled],MATCH($A21,Credit_KPIs_Tbl[Date - التاريخ],0)),""))</f>
        <v/>
      </c>
      <c r="F21">
        <f>IF($A21&gt;TODAY(),"",SUMIFS(Collection_Summary_Tbl[Amount - المبلغ],Collection_Summary_Tbl[Item - البند],"الاجمالي",Collection_Summary_Tbl[Date To - الى],$A21))</f>
        <v/>
      </c>
      <c r="G21">
        <f>IF($A21&gt;TODAY(),"",SUMIFS(Sales_Tbl[Count - العدد],Sales_Tbl[Date - التاريخ],$A21))</f>
        <v/>
      </c>
      <c r="H21">
        <f>IF($A21&gt;TODAY(),"",SUMIFS(Sales_Tbl[Count - العدد],Sales_Tbl[Status - الحالة],"Accepted - تم التنفيذ",Sales_Tbl[Date - التاريخ],$A21))</f>
        <v/>
      </c>
      <c r="I21">
        <f>IF($A21&gt;TODAY(),"",SUMIFS(Customer_Care_Tbl[Active - نشط],Customer_Care_Tbl[Date - التاريخ],$A21))</f>
        <v/>
      </c>
      <c r="J21">
        <f>IF($A21&gt;TODAY(),"",SUMIFS(Customer_Care_Tbl[Close - مغلق],Customer_Care_Tbl[Date - التاريخ],$A21))</f>
        <v/>
      </c>
    </row>
    <row r="22">
      <c r="A22">
        <f>A21+1</f>
        <v/>
      </c>
      <c r="B22">
        <f>IF($A22&gt;TODAY(),"",IFERROR(INDEX(Credit_KPIs_Tbl[Total Financing Amount],MATCH($A22,Credit_KPIs_Tbl[Date - التاريخ],0)),""))</f>
        <v/>
      </c>
      <c r="C22">
        <f>IF($A22&gt;TODAY(),"",IFERROR(INDEX(Credit_KPIs_Tbl[Today Financing Amount],MATCH($A22,Credit_KPIs_Tbl[Date - التاريخ],0)),""))</f>
        <v/>
      </c>
      <c r="D22">
        <f>IF($A22&gt;TODAY(),"",IFERROR(INDEX(Credit_KPIs_Tbl[Total Number Contracts],MATCH($A22,Credit_KPIs_Tbl[Date - التاريخ],0)),""))</f>
        <v/>
      </c>
      <c r="E22">
        <f>IF($A22&gt;TODAY(),"",IFERROR(INDEX(Credit_KPIs_Tbl[Cancelled],MATCH($A22,Credit_KPIs_Tbl[Date - التاريخ],0)),""))</f>
        <v/>
      </c>
      <c r="F22">
        <f>IF($A22&gt;TODAY(),"",SUMIFS(Collection_Summary_Tbl[Amount - المبلغ],Collection_Summary_Tbl[Item - البند],"الاجمالي",Collection_Summary_Tbl[Date To - الى],$A22))</f>
        <v/>
      </c>
      <c r="G22">
        <f>IF($A22&gt;TODAY(),"",SUMIFS(Sales_Tbl[Count - العدد],Sales_Tbl[Date - التاريخ],$A22))</f>
        <v/>
      </c>
      <c r="H22">
        <f>IF($A22&gt;TODAY(),"",SUMIFS(Sales_Tbl[Count - العدد],Sales_Tbl[Status - الحالة],"Accepted - تم التنفيذ",Sales_Tbl[Date - التاريخ],$A22))</f>
        <v/>
      </c>
      <c r="I22">
        <f>IF($A22&gt;TODAY(),"",SUMIFS(Customer_Care_Tbl[Active - نشط],Customer_Care_Tbl[Date - التاريخ],$A22))</f>
        <v/>
      </c>
      <c r="J22">
        <f>IF($A22&gt;TODAY(),"",SUMIFS(Customer_Care_Tbl[Close - مغلق],Customer_Care_Tbl[Date - التاريخ],$A22))</f>
        <v/>
      </c>
    </row>
    <row r="23">
      <c r="A23">
        <f>A22+1</f>
        <v/>
      </c>
      <c r="B23">
        <f>IF($A23&gt;TODAY(),"",IFERROR(INDEX(Credit_KPIs_Tbl[Total Financing Amount],MATCH($A23,Credit_KPIs_Tbl[Date - التاريخ],0)),""))</f>
        <v/>
      </c>
      <c r="C23">
        <f>IF($A23&gt;TODAY(),"",IFERROR(INDEX(Credit_KPIs_Tbl[Today Financing Amount],MATCH($A23,Credit_KPIs_Tbl[Date - التاريخ],0)),""))</f>
        <v/>
      </c>
      <c r="D23">
        <f>IF($A23&gt;TODAY(),"",IFERROR(INDEX(Credit_KPIs_Tbl[Total Number Contracts],MATCH($A23,Credit_KPIs_Tbl[Date - التاريخ],0)),""))</f>
        <v/>
      </c>
      <c r="E23">
        <f>IF($A23&gt;TODAY(),"",IFERROR(INDEX(Credit_KPIs_Tbl[Cancelled],MATCH($A23,Credit_KPIs_Tbl[Date - التاريخ],0)),""))</f>
        <v/>
      </c>
      <c r="F23">
        <f>IF($A23&gt;TODAY(),"",SUMIFS(Collection_Summary_Tbl[Amount - المبلغ],Collection_Summary_Tbl[Item - البند],"الاجمالي",Collection_Summary_Tbl[Date To - الى],$A23))</f>
        <v/>
      </c>
      <c r="G23">
        <f>IF($A23&gt;TODAY(),"",SUMIFS(Sales_Tbl[Count - العدد],Sales_Tbl[Date - التاريخ],$A23))</f>
        <v/>
      </c>
      <c r="H23">
        <f>IF($A23&gt;TODAY(),"",SUMIFS(Sales_Tbl[Count - العدد],Sales_Tbl[Status - الحالة],"Accepted - تم التنفيذ",Sales_Tbl[Date - التاريخ],$A23))</f>
        <v/>
      </c>
      <c r="I23">
        <f>IF($A23&gt;TODAY(),"",SUMIFS(Customer_Care_Tbl[Active - نشط],Customer_Care_Tbl[Date - التاريخ],$A23))</f>
        <v/>
      </c>
      <c r="J23">
        <f>IF($A23&gt;TODAY(),"",SUMIFS(Customer_Care_Tbl[Close - مغلق],Customer_Care_Tbl[Date - التاريخ],$A23))</f>
        <v/>
      </c>
    </row>
    <row r="24">
      <c r="A24">
        <f>A23+1</f>
        <v/>
      </c>
      <c r="B24">
        <f>IF($A24&gt;TODAY(),"",IFERROR(INDEX(Credit_KPIs_Tbl[Total Financing Amount],MATCH($A24,Credit_KPIs_Tbl[Date - التاريخ],0)),""))</f>
        <v/>
      </c>
      <c r="C24">
        <f>IF($A24&gt;TODAY(),"",IFERROR(INDEX(Credit_KPIs_Tbl[Today Financing Amount],MATCH($A24,Credit_KPIs_Tbl[Date - التاريخ],0)),""))</f>
        <v/>
      </c>
      <c r="D24">
        <f>IF($A24&gt;TODAY(),"",IFERROR(INDEX(Credit_KPIs_Tbl[Total Number Contracts],MATCH($A24,Credit_KPIs_Tbl[Date - التاريخ],0)),""))</f>
        <v/>
      </c>
      <c r="E24">
        <f>IF($A24&gt;TODAY(),"",IFERROR(INDEX(Credit_KPIs_Tbl[Cancelled],MATCH($A24,Credit_KPIs_Tbl[Date - التاريخ],0)),""))</f>
        <v/>
      </c>
      <c r="F24">
        <f>IF($A24&gt;TODAY(),"",SUMIFS(Collection_Summary_Tbl[Amount - المبلغ],Collection_Summary_Tbl[Item - البند],"الاجمالي",Collection_Summary_Tbl[Date To - الى],$A24))</f>
        <v/>
      </c>
      <c r="G24">
        <f>IF($A24&gt;TODAY(),"",SUMIFS(Sales_Tbl[Count - العدد],Sales_Tbl[Date - التاريخ],$A24))</f>
        <v/>
      </c>
      <c r="H24">
        <f>IF($A24&gt;TODAY(),"",SUMIFS(Sales_Tbl[Count - العدد],Sales_Tbl[Status - الحالة],"Accepted - تم التنفيذ",Sales_Tbl[Date - التاريخ],$A24))</f>
        <v/>
      </c>
      <c r="I24">
        <f>IF($A24&gt;TODAY(),"",SUMIFS(Customer_Care_Tbl[Active - نشط],Customer_Care_Tbl[Date - التاريخ],$A24))</f>
        <v/>
      </c>
      <c r="J24">
        <f>IF($A24&gt;TODAY(),"",SUMIFS(Customer_Care_Tbl[Close - مغلق],Customer_Care_Tbl[Date - التاريخ],$A24))</f>
        <v/>
      </c>
    </row>
    <row r="25">
      <c r="A25">
        <f>A24+1</f>
        <v/>
      </c>
      <c r="B25">
        <f>IF($A25&gt;TODAY(),"",IFERROR(INDEX(Credit_KPIs_Tbl[Total Financing Amount],MATCH($A25,Credit_KPIs_Tbl[Date - التاريخ],0)),""))</f>
        <v/>
      </c>
      <c r="C25">
        <f>IF($A25&gt;TODAY(),"",IFERROR(INDEX(Credit_KPIs_Tbl[Today Financing Amount],MATCH($A25,Credit_KPIs_Tbl[Date - التاريخ],0)),""))</f>
        <v/>
      </c>
      <c r="D25">
        <f>IF($A25&gt;TODAY(),"",IFERROR(INDEX(Credit_KPIs_Tbl[Total Number Contracts],MATCH($A25,Credit_KPIs_Tbl[Date - التاريخ],0)),""))</f>
        <v/>
      </c>
      <c r="E25">
        <f>IF($A25&gt;TODAY(),"",IFERROR(INDEX(Credit_KPIs_Tbl[Cancelled],MATCH($A25,Credit_KPIs_Tbl[Date - التاريخ],0)),""))</f>
        <v/>
      </c>
      <c r="F25">
        <f>IF($A25&gt;TODAY(),"",SUMIFS(Collection_Summary_Tbl[Amount - المبلغ],Collection_Summary_Tbl[Item - البند],"الاجمالي",Collection_Summary_Tbl[Date To - الى],$A25))</f>
        <v/>
      </c>
      <c r="G25">
        <f>IF($A25&gt;TODAY(),"",SUMIFS(Sales_Tbl[Count - العدد],Sales_Tbl[Date - التاريخ],$A25))</f>
        <v/>
      </c>
      <c r="H25">
        <f>IF($A25&gt;TODAY(),"",SUMIFS(Sales_Tbl[Count - العدد],Sales_Tbl[Status - الحالة],"Accepted - تم التنفيذ",Sales_Tbl[Date - التاريخ],$A25))</f>
        <v/>
      </c>
      <c r="I25">
        <f>IF($A25&gt;TODAY(),"",SUMIFS(Customer_Care_Tbl[Active - نشط],Customer_Care_Tbl[Date - التاريخ],$A25))</f>
        <v/>
      </c>
      <c r="J25">
        <f>IF($A25&gt;TODAY(),"",SUMIFS(Customer_Care_Tbl[Close - مغلق],Customer_Care_Tbl[Date - التاريخ],$A25))</f>
        <v/>
      </c>
    </row>
    <row r="26">
      <c r="A26">
        <f>A25+1</f>
        <v/>
      </c>
      <c r="B26">
        <f>IF($A26&gt;TODAY(),"",IFERROR(INDEX(Credit_KPIs_Tbl[Total Financing Amount],MATCH($A26,Credit_KPIs_Tbl[Date - التاريخ],0)),""))</f>
        <v/>
      </c>
      <c r="C26">
        <f>IF($A26&gt;TODAY(),"",IFERROR(INDEX(Credit_KPIs_Tbl[Today Financing Amount],MATCH($A26,Credit_KPIs_Tbl[Date - التاريخ],0)),""))</f>
        <v/>
      </c>
      <c r="D26">
        <f>IF($A26&gt;TODAY(),"",IFERROR(INDEX(Credit_KPIs_Tbl[Total Number Contracts],MATCH($A26,Credit_KPIs_Tbl[Date - التاريخ],0)),""))</f>
        <v/>
      </c>
      <c r="E26">
        <f>IF($A26&gt;TODAY(),"",IFERROR(INDEX(Credit_KPIs_Tbl[Cancelled],MATCH($A26,Credit_KPIs_Tbl[Date - التاريخ],0)),""))</f>
        <v/>
      </c>
      <c r="F26">
        <f>IF($A26&gt;TODAY(),"",SUMIFS(Collection_Summary_Tbl[Amount - المبلغ],Collection_Summary_Tbl[Item - البند],"الاجمالي",Collection_Summary_Tbl[Date To - الى],$A26))</f>
        <v/>
      </c>
      <c r="G26">
        <f>IF($A26&gt;TODAY(),"",SUMIFS(Sales_Tbl[Count - العدد],Sales_Tbl[Date - التاريخ],$A26))</f>
        <v/>
      </c>
      <c r="H26">
        <f>IF($A26&gt;TODAY(),"",SUMIFS(Sales_Tbl[Count - العدد],Sales_Tbl[Status - الحالة],"Accepted - تم التنفيذ",Sales_Tbl[Date - التاريخ],$A26))</f>
        <v/>
      </c>
      <c r="I26">
        <f>IF($A26&gt;TODAY(),"",SUMIFS(Customer_Care_Tbl[Active - نشط],Customer_Care_Tbl[Date - التاريخ],$A26))</f>
        <v/>
      </c>
      <c r="J26">
        <f>IF($A26&gt;TODAY(),"",SUMIFS(Customer_Care_Tbl[Close - مغلق],Customer_Care_Tbl[Date - التاريخ],$A26))</f>
        <v/>
      </c>
    </row>
    <row r="27">
      <c r="A27">
        <f>A26+1</f>
        <v/>
      </c>
      <c r="B27">
        <f>IF($A27&gt;TODAY(),"",IFERROR(INDEX(Credit_KPIs_Tbl[Total Financing Amount],MATCH($A27,Credit_KPIs_Tbl[Date - التاريخ],0)),""))</f>
        <v/>
      </c>
      <c r="C27">
        <f>IF($A27&gt;TODAY(),"",IFERROR(INDEX(Credit_KPIs_Tbl[Today Financing Amount],MATCH($A27,Credit_KPIs_Tbl[Date - التاريخ],0)),""))</f>
        <v/>
      </c>
      <c r="D27">
        <f>IF($A27&gt;TODAY(),"",IFERROR(INDEX(Credit_KPIs_Tbl[Total Number Contracts],MATCH($A27,Credit_KPIs_Tbl[Date - التاريخ],0)),""))</f>
        <v/>
      </c>
      <c r="E27">
        <f>IF($A27&gt;TODAY(),"",IFERROR(INDEX(Credit_KPIs_Tbl[Cancelled],MATCH($A27,Credit_KPIs_Tbl[Date - التاريخ],0)),""))</f>
        <v/>
      </c>
      <c r="F27">
        <f>IF($A27&gt;TODAY(),"",SUMIFS(Collection_Summary_Tbl[Amount - المبلغ],Collection_Summary_Tbl[Item - البند],"الاجمالي",Collection_Summary_Tbl[Date To - الى],$A27))</f>
        <v/>
      </c>
      <c r="G27">
        <f>IF($A27&gt;TODAY(),"",SUMIFS(Sales_Tbl[Count - العدد],Sales_Tbl[Date - التاريخ],$A27))</f>
        <v/>
      </c>
      <c r="H27">
        <f>IF($A27&gt;TODAY(),"",SUMIFS(Sales_Tbl[Count - العدد],Sales_Tbl[Status - الحالة],"Accepted - تم التنفيذ",Sales_Tbl[Date - التاريخ],$A27))</f>
        <v/>
      </c>
      <c r="I27">
        <f>IF($A27&gt;TODAY(),"",SUMIFS(Customer_Care_Tbl[Active - نشط],Customer_Care_Tbl[Date - التاريخ],$A27))</f>
        <v/>
      </c>
      <c r="J27">
        <f>IF($A27&gt;TODAY(),"",SUMIFS(Customer_Care_Tbl[Close - مغلق],Customer_Care_Tbl[Date - التاريخ],$A27))</f>
        <v/>
      </c>
    </row>
    <row r="28">
      <c r="A28">
        <f>A27+1</f>
        <v/>
      </c>
      <c r="B28">
        <f>IF($A28&gt;TODAY(),"",IFERROR(INDEX(Credit_KPIs_Tbl[Total Financing Amount],MATCH($A28,Credit_KPIs_Tbl[Date - التاريخ],0)),""))</f>
        <v/>
      </c>
      <c r="C28">
        <f>IF($A28&gt;TODAY(),"",IFERROR(INDEX(Credit_KPIs_Tbl[Today Financing Amount],MATCH($A28,Credit_KPIs_Tbl[Date - التاريخ],0)),""))</f>
        <v/>
      </c>
      <c r="D28">
        <f>IF($A28&gt;TODAY(),"",IFERROR(INDEX(Credit_KPIs_Tbl[Total Number Contracts],MATCH($A28,Credit_KPIs_Tbl[Date - التاريخ],0)),""))</f>
        <v/>
      </c>
      <c r="E28">
        <f>IF($A28&gt;TODAY(),"",IFERROR(INDEX(Credit_KPIs_Tbl[Cancelled],MATCH($A28,Credit_KPIs_Tbl[Date - التاريخ],0)),""))</f>
        <v/>
      </c>
      <c r="F28">
        <f>IF($A28&gt;TODAY(),"",SUMIFS(Collection_Summary_Tbl[Amount - المبلغ],Collection_Summary_Tbl[Item - البند],"الاجمالي",Collection_Summary_Tbl[Date To - الى],$A28))</f>
        <v/>
      </c>
      <c r="G28">
        <f>IF($A28&gt;TODAY(),"",SUMIFS(Sales_Tbl[Count - العدد],Sales_Tbl[Date - التاريخ],$A28))</f>
        <v/>
      </c>
      <c r="H28">
        <f>IF($A28&gt;TODAY(),"",SUMIFS(Sales_Tbl[Count - العدد],Sales_Tbl[Status - الحالة],"Accepted - تم التنفيذ",Sales_Tbl[Date - التاريخ],$A28))</f>
        <v/>
      </c>
      <c r="I28">
        <f>IF($A28&gt;TODAY(),"",SUMIFS(Customer_Care_Tbl[Active - نشط],Customer_Care_Tbl[Date - التاريخ],$A28))</f>
        <v/>
      </c>
      <c r="J28">
        <f>IF($A28&gt;TODAY(),"",SUMIFS(Customer_Care_Tbl[Close - مغلق],Customer_Care_Tbl[Date - التاريخ],$A28))</f>
        <v/>
      </c>
    </row>
    <row r="29">
      <c r="A29">
        <f>A28+1</f>
        <v/>
      </c>
      <c r="B29">
        <f>IF($A29&gt;TODAY(),"",IFERROR(INDEX(Credit_KPIs_Tbl[Total Financing Amount],MATCH($A29,Credit_KPIs_Tbl[Date - التاريخ],0)),""))</f>
        <v/>
      </c>
      <c r="C29">
        <f>IF($A29&gt;TODAY(),"",IFERROR(INDEX(Credit_KPIs_Tbl[Today Financing Amount],MATCH($A29,Credit_KPIs_Tbl[Date - التاريخ],0)),""))</f>
        <v/>
      </c>
      <c r="D29">
        <f>IF($A29&gt;TODAY(),"",IFERROR(INDEX(Credit_KPIs_Tbl[Total Number Contracts],MATCH($A29,Credit_KPIs_Tbl[Date - التاريخ],0)),""))</f>
        <v/>
      </c>
      <c r="E29">
        <f>IF($A29&gt;TODAY(),"",IFERROR(INDEX(Credit_KPIs_Tbl[Cancelled],MATCH($A29,Credit_KPIs_Tbl[Date - التاريخ],0)),""))</f>
        <v/>
      </c>
      <c r="F29">
        <f>IF($A29&gt;TODAY(),"",SUMIFS(Collection_Summary_Tbl[Amount - المبلغ],Collection_Summary_Tbl[Item - البند],"الاجمالي",Collection_Summary_Tbl[Date To - الى],$A29))</f>
        <v/>
      </c>
      <c r="G29">
        <f>IF($A29&gt;TODAY(),"",SUMIFS(Sales_Tbl[Count - العدد],Sales_Tbl[Date - التاريخ],$A29))</f>
        <v/>
      </c>
      <c r="H29">
        <f>IF($A29&gt;TODAY(),"",SUMIFS(Sales_Tbl[Count - العدد],Sales_Tbl[Status - الحالة],"Accepted - تم التنفيذ",Sales_Tbl[Date - التاريخ],$A29))</f>
        <v/>
      </c>
      <c r="I29">
        <f>IF($A29&gt;TODAY(),"",SUMIFS(Customer_Care_Tbl[Active - نشط],Customer_Care_Tbl[Date - التاريخ],$A29))</f>
        <v/>
      </c>
      <c r="J29">
        <f>IF($A29&gt;TODAY(),"",SUMIFS(Customer_Care_Tbl[Close - مغلق],Customer_Care_Tbl[Date - التاريخ],$A29))</f>
        <v/>
      </c>
    </row>
    <row r="30">
      <c r="A30">
        <f>A29+1</f>
        <v/>
      </c>
      <c r="B30">
        <f>IF($A30&gt;TODAY(),"",IFERROR(INDEX(Credit_KPIs_Tbl[Total Financing Amount],MATCH($A30,Credit_KPIs_Tbl[Date - التاريخ],0)),""))</f>
        <v/>
      </c>
      <c r="C30">
        <f>IF($A30&gt;TODAY(),"",IFERROR(INDEX(Credit_KPIs_Tbl[Today Financing Amount],MATCH($A30,Credit_KPIs_Tbl[Date - التاريخ],0)),""))</f>
        <v/>
      </c>
      <c r="D30">
        <f>IF($A30&gt;TODAY(),"",IFERROR(INDEX(Credit_KPIs_Tbl[Total Number Contracts],MATCH($A30,Credit_KPIs_Tbl[Date - التاريخ],0)),""))</f>
        <v/>
      </c>
      <c r="E30">
        <f>IF($A30&gt;TODAY(),"",IFERROR(INDEX(Credit_KPIs_Tbl[Cancelled],MATCH($A30,Credit_KPIs_Tbl[Date - التاريخ],0)),""))</f>
        <v/>
      </c>
      <c r="F30">
        <f>IF($A30&gt;TODAY(),"",SUMIFS(Collection_Summary_Tbl[Amount - المبلغ],Collection_Summary_Tbl[Item - البند],"الاجمالي",Collection_Summary_Tbl[Date To - الى],$A30))</f>
        <v/>
      </c>
      <c r="G30">
        <f>IF($A30&gt;TODAY(),"",SUMIFS(Sales_Tbl[Count - العدد],Sales_Tbl[Date - التاريخ],$A30))</f>
        <v/>
      </c>
      <c r="H30">
        <f>IF($A30&gt;TODAY(),"",SUMIFS(Sales_Tbl[Count - العدد],Sales_Tbl[Status - الحالة],"Accepted - تم التنفيذ",Sales_Tbl[Date - التاريخ],$A30))</f>
        <v/>
      </c>
      <c r="I30">
        <f>IF($A30&gt;TODAY(),"",SUMIFS(Customer_Care_Tbl[Active - نشط],Customer_Care_Tbl[Date - التاريخ],$A30))</f>
        <v/>
      </c>
      <c r="J30">
        <f>IF($A30&gt;TODAY(),"",SUMIFS(Customer_Care_Tbl[Close - مغلق],Customer_Care_Tbl[Date - التاريخ],$A30))</f>
        <v/>
      </c>
    </row>
    <row r="31">
      <c r="A31">
        <f>A30+1</f>
        <v/>
      </c>
      <c r="B31">
        <f>IF($A31&gt;TODAY(),"",IFERROR(INDEX(Credit_KPIs_Tbl[Total Financing Amount],MATCH($A31,Credit_KPIs_Tbl[Date - التاريخ],0)),""))</f>
        <v/>
      </c>
      <c r="C31">
        <f>IF($A31&gt;TODAY(),"",IFERROR(INDEX(Credit_KPIs_Tbl[Today Financing Amount],MATCH($A31,Credit_KPIs_Tbl[Date - التاريخ],0)),""))</f>
        <v/>
      </c>
      <c r="D31">
        <f>IF($A31&gt;TODAY(),"",IFERROR(INDEX(Credit_KPIs_Tbl[Total Number Contracts],MATCH($A31,Credit_KPIs_Tbl[Date - التاريخ],0)),""))</f>
        <v/>
      </c>
      <c r="E31">
        <f>IF($A31&gt;TODAY(),"",IFERROR(INDEX(Credit_KPIs_Tbl[Cancelled],MATCH($A31,Credit_KPIs_Tbl[Date - التاريخ],0)),""))</f>
        <v/>
      </c>
      <c r="F31">
        <f>IF($A31&gt;TODAY(),"",SUMIFS(Collection_Summary_Tbl[Amount - المبلغ],Collection_Summary_Tbl[Item - البند],"الاجمالي",Collection_Summary_Tbl[Date To - الى],$A31))</f>
        <v/>
      </c>
      <c r="G31">
        <f>IF($A31&gt;TODAY(),"",SUMIFS(Sales_Tbl[Count - العدد],Sales_Tbl[Date - التاريخ],$A31))</f>
        <v/>
      </c>
      <c r="H31">
        <f>IF($A31&gt;TODAY(),"",SUMIFS(Sales_Tbl[Count - العدد],Sales_Tbl[Status - الحالة],"Accepted - تم التنفيذ",Sales_Tbl[Date - التاريخ],$A31))</f>
        <v/>
      </c>
      <c r="I31">
        <f>IF($A31&gt;TODAY(),"",SUMIFS(Customer_Care_Tbl[Active - نشط],Customer_Care_Tbl[Date - التاريخ],$A31))</f>
        <v/>
      </c>
      <c r="J31">
        <f>IF($A31&gt;TODAY(),"",SUMIFS(Customer_Care_Tbl[Close - مغلق],Customer_Care_Tbl[Date - التاريخ],$A31))</f>
        <v/>
      </c>
    </row>
    <row r="32">
      <c r="A32">
        <f>A31+1</f>
        <v/>
      </c>
      <c r="B32">
        <f>IF($A32&gt;TODAY(),"",IFERROR(INDEX(Credit_KPIs_Tbl[Total Financing Amount],MATCH($A32,Credit_KPIs_Tbl[Date - التاريخ],0)),""))</f>
        <v/>
      </c>
      <c r="C32">
        <f>IF($A32&gt;TODAY(),"",IFERROR(INDEX(Credit_KPIs_Tbl[Today Financing Amount],MATCH($A32,Credit_KPIs_Tbl[Date - التاريخ],0)),""))</f>
        <v/>
      </c>
      <c r="D32">
        <f>IF($A32&gt;TODAY(),"",IFERROR(INDEX(Credit_KPIs_Tbl[Total Number Contracts],MATCH($A32,Credit_KPIs_Tbl[Date - التاريخ],0)),""))</f>
        <v/>
      </c>
      <c r="E32">
        <f>IF($A32&gt;TODAY(),"",IFERROR(INDEX(Credit_KPIs_Tbl[Cancelled],MATCH($A32,Credit_KPIs_Tbl[Date - التاريخ],0)),""))</f>
        <v/>
      </c>
      <c r="F32">
        <f>IF($A32&gt;TODAY(),"",SUMIFS(Collection_Summary_Tbl[Amount - المبلغ],Collection_Summary_Tbl[Item - البند],"الاجمالي",Collection_Summary_Tbl[Date To - الى],$A32))</f>
        <v/>
      </c>
      <c r="G32">
        <f>IF($A32&gt;TODAY(),"",SUMIFS(Sales_Tbl[Count - العدد],Sales_Tbl[Date - التاريخ],$A32))</f>
        <v/>
      </c>
      <c r="H32">
        <f>IF($A32&gt;TODAY(),"",SUMIFS(Sales_Tbl[Count - العدد],Sales_Tbl[Status - الحالة],"Accepted - تم التنفيذ",Sales_Tbl[Date - التاريخ],$A32))</f>
        <v/>
      </c>
      <c r="I32">
        <f>IF($A32&gt;TODAY(),"",SUMIFS(Customer_Care_Tbl[Active - نشط],Customer_Care_Tbl[Date - التاريخ],$A32))</f>
        <v/>
      </c>
      <c r="J32">
        <f>IF($A32&gt;TODAY(),"",SUMIFS(Customer_Care_Tbl[Close - مغلق],Customer_Care_Tbl[Date - التاريخ],$A32))</f>
        <v/>
      </c>
    </row>
    <row r="33">
      <c r="A33">
        <f>A32+1</f>
        <v/>
      </c>
      <c r="B33">
        <f>IF($A33&gt;TODAY(),"",IFERROR(INDEX(Credit_KPIs_Tbl[Total Financing Amount],MATCH($A33,Credit_KPIs_Tbl[Date - التاريخ],0)),""))</f>
        <v/>
      </c>
      <c r="C33">
        <f>IF($A33&gt;TODAY(),"",IFERROR(INDEX(Credit_KPIs_Tbl[Today Financing Amount],MATCH($A33,Credit_KPIs_Tbl[Date - التاريخ],0)),""))</f>
        <v/>
      </c>
      <c r="D33">
        <f>IF($A33&gt;TODAY(),"",IFERROR(INDEX(Credit_KPIs_Tbl[Total Number Contracts],MATCH($A33,Credit_KPIs_Tbl[Date - التاريخ],0)),""))</f>
        <v/>
      </c>
      <c r="E33">
        <f>IF($A33&gt;TODAY(),"",IFERROR(INDEX(Credit_KPIs_Tbl[Cancelled],MATCH($A33,Credit_KPIs_Tbl[Date - التاريخ],0)),""))</f>
        <v/>
      </c>
      <c r="F33">
        <f>IF($A33&gt;TODAY(),"",SUMIFS(Collection_Summary_Tbl[Amount - المبلغ],Collection_Summary_Tbl[Item - البند],"الاجمالي",Collection_Summary_Tbl[Date To - الى],$A33))</f>
        <v/>
      </c>
      <c r="G33">
        <f>IF($A33&gt;TODAY(),"",SUMIFS(Sales_Tbl[Count - العدد],Sales_Tbl[Date - التاريخ],$A33))</f>
        <v/>
      </c>
      <c r="H33">
        <f>IF($A33&gt;TODAY(),"",SUMIFS(Sales_Tbl[Count - العدد],Sales_Tbl[Status - الحالة],"Accepted - تم التنفيذ",Sales_Tbl[Date - التاريخ],$A33))</f>
        <v/>
      </c>
      <c r="I33">
        <f>IF($A33&gt;TODAY(),"",SUMIFS(Customer_Care_Tbl[Active - نشط],Customer_Care_Tbl[Date - التاريخ],$A33))</f>
        <v/>
      </c>
      <c r="J33">
        <f>IF($A33&gt;TODAY(),"",SUMIFS(Customer_Care_Tbl[Close - مغلق],Customer_Care_Tbl[Date - التاريخ],$A33))</f>
        <v/>
      </c>
    </row>
    <row r="34">
      <c r="A34">
        <f>A33+1</f>
        <v/>
      </c>
      <c r="B34">
        <f>IF($A34&gt;TODAY(),"",IFERROR(INDEX(Credit_KPIs_Tbl[Total Financing Amount],MATCH($A34,Credit_KPIs_Tbl[Date - التاريخ],0)),""))</f>
        <v/>
      </c>
      <c r="C34">
        <f>IF($A34&gt;TODAY(),"",IFERROR(INDEX(Credit_KPIs_Tbl[Today Financing Amount],MATCH($A34,Credit_KPIs_Tbl[Date - التاريخ],0)),""))</f>
        <v/>
      </c>
      <c r="D34">
        <f>IF($A34&gt;TODAY(),"",IFERROR(INDEX(Credit_KPIs_Tbl[Total Number Contracts],MATCH($A34,Credit_KPIs_Tbl[Date - التاريخ],0)),""))</f>
        <v/>
      </c>
      <c r="E34">
        <f>IF($A34&gt;TODAY(),"",IFERROR(INDEX(Credit_KPIs_Tbl[Cancelled],MATCH($A34,Credit_KPIs_Tbl[Date - التاريخ],0)),""))</f>
        <v/>
      </c>
      <c r="F34">
        <f>IF($A34&gt;TODAY(),"",SUMIFS(Collection_Summary_Tbl[Amount - المبلغ],Collection_Summary_Tbl[Item - البند],"الاجمالي",Collection_Summary_Tbl[Date To - الى],$A34))</f>
        <v/>
      </c>
      <c r="G34">
        <f>IF($A34&gt;TODAY(),"",SUMIFS(Sales_Tbl[Count - العدد],Sales_Tbl[Date - التاريخ],$A34))</f>
        <v/>
      </c>
      <c r="H34">
        <f>IF($A34&gt;TODAY(),"",SUMIFS(Sales_Tbl[Count - العدد],Sales_Tbl[Status - الحالة],"Accepted - تم التنفيذ",Sales_Tbl[Date - التاريخ],$A34))</f>
        <v/>
      </c>
      <c r="I34">
        <f>IF($A34&gt;TODAY(),"",SUMIFS(Customer_Care_Tbl[Active - نشط],Customer_Care_Tbl[Date - التاريخ],$A34))</f>
        <v/>
      </c>
      <c r="J34">
        <f>IF($A34&gt;TODAY(),"",SUMIFS(Customer_Care_Tbl[Close - مغلق],Customer_Care_Tbl[Date - التاريخ],$A34))</f>
        <v/>
      </c>
    </row>
    <row r="35">
      <c r="A35">
        <f>A34+1</f>
        <v/>
      </c>
      <c r="B35">
        <f>IF($A35&gt;TODAY(),"",IFERROR(INDEX(Credit_KPIs_Tbl[Total Financing Amount],MATCH($A35,Credit_KPIs_Tbl[Date - التاريخ],0)),""))</f>
        <v/>
      </c>
      <c r="C35">
        <f>IF($A35&gt;TODAY(),"",IFERROR(INDEX(Credit_KPIs_Tbl[Today Financing Amount],MATCH($A35,Credit_KPIs_Tbl[Date - التاريخ],0)),""))</f>
        <v/>
      </c>
      <c r="D35">
        <f>IF($A35&gt;TODAY(),"",IFERROR(INDEX(Credit_KPIs_Tbl[Total Number Contracts],MATCH($A35,Credit_KPIs_Tbl[Date - التاريخ],0)),""))</f>
        <v/>
      </c>
      <c r="E35">
        <f>IF($A35&gt;TODAY(),"",IFERROR(INDEX(Credit_KPIs_Tbl[Cancelled],MATCH($A35,Credit_KPIs_Tbl[Date - التاريخ],0)),""))</f>
        <v/>
      </c>
      <c r="F35">
        <f>IF($A35&gt;TODAY(),"",SUMIFS(Collection_Summary_Tbl[Amount - المبلغ],Collection_Summary_Tbl[Item - البند],"الاجمالي",Collection_Summary_Tbl[Date To - الى],$A35))</f>
        <v/>
      </c>
      <c r="G35">
        <f>IF($A35&gt;TODAY(),"",SUMIFS(Sales_Tbl[Count - العدد],Sales_Tbl[Date - التاريخ],$A35))</f>
        <v/>
      </c>
      <c r="H35">
        <f>IF($A35&gt;TODAY(),"",SUMIFS(Sales_Tbl[Count - العدد],Sales_Tbl[Status - الحالة],"Accepted - تم التنفيذ",Sales_Tbl[Date - التاريخ],$A35))</f>
        <v/>
      </c>
      <c r="I35">
        <f>IF($A35&gt;TODAY(),"",SUMIFS(Customer_Care_Tbl[Active - نشط],Customer_Care_Tbl[Date - التاريخ],$A35))</f>
        <v/>
      </c>
      <c r="J35">
        <f>IF($A35&gt;TODAY(),"",SUMIFS(Customer_Care_Tbl[Close - مغلق],Customer_Care_Tbl[Date - التاريخ],$A35))</f>
        <v/>
      </c>
    </row>
    <row r="36">
      <c r="A36">
        <f>A35+1</f>
        <v/>
      </c>
      <c r="B36">
        <f>IF($A36&gt;TODAY(),"",IFERROR(INDEX(Credit_KPIs_Tbl[Total Financing Amount],MATCH($A36,Credit_KPIs_Tbl[Date - التاريخ],0)),""))</f>
        <v/>
      </c>
      <c r="C36">
        <f>IF($A36&gt;TODAY(),"",IFERROR(INDEX(Credit_KPIs_Tbl[Today Financing Amount],MATCH($A36,Credit_KPIs_Tbl[Date - التاريخ],0)),""))</f>
        <v/>
      </c>
      <c r="D36">
        <f>IF($A36&gt;TODAY(),"",IFERROR(INDEX(Credit_KPIs_Tbl[Total Number Contracts],MATCH($A36,Credit_KPIs_Tbl[Date - التاريخ],0)),""))</f>
        <v/>
      </c>
      <c r="E36">
        <f>IF($A36&gt;TODAY(),"",IFERROR(INDEX(Credit_KPIs_Tbl[Cancelled],MATCH($A36,Credit_KPIs_Tbl[Date - التاريخ],0)),""))</f>
        <v/>
      </c>
      <c r="F36">
        <f>IF($A36&gt;TODAY(),"",SUMIFS(Collection_Summary_Tbl[Amount - المبلغ],Collection_Summary_Tbl[Item - البند],"الاجمالي",Collection_Summary_Tbl[Date To - الى],$A36))</f>
        <v/>
      </c>
      <c r="G36">
        <f>IF($A36&gt;TODAY(),"",SUMIFS(Sales_Tbl[Count - العدد],Sales_Tbl[Date - التاريخ],$A36))</f>
        <v/>
      </c>
      <c r="H36">
        <f>IF($A36&gt;TODAY(),"",SUMIFS(Sales_Tbl[Count - العدد],Sales_Tbl[Status - الحالة],"Accepted - تم التنفيذ",Sales_Tbl[Date - التاريخ],$A36))</f>
        <v/>
      </c>
      <c r="I36">
        <f>IF($A36&gt;TODAY(),"",SUMIFS(Customer_Care_Tbl[Active - نشط],Customer_Care_Tbl[Date - التاريخ],$A36))</f>
        <v/>
      </c>
      <c r="J36">
        <f>IF($A36&gt;TODAY(),"",SUMIFS(Customer_Care_Tbl[Close - مغلق],Customer_Care_Tbl[Date - التاريخ],$A36))</f>
        <v/>
      </c>
    </row>
    <row r="37">
      <c r="A37">
        <f>A36+1</f>
        <v/>
      </c>
      <c r="B37">
        <f>IF($A37&gt;TODAY(),"",IFERROR(INDEX(Credit_KPIs_Tbl[Total Financing Amount],MATCH($A37,Credit_KPIs_Tbl[Date - التاريخ],0)),""))</f>
        <v/>
      </c>
      <c r="C37">
        <f>IF($A37&gt;TODAY(),"",IFERROR(INDEX(Credit_KPIs_Tbl[Today Financing Amount],MATCH($A37,Credit_KPIs_Tbl[Date - التاريخ],0)),""))</f>
        <v/>
      </c>
      <c r="D37">
        <f>IF($A37&gt;TODAY(),"",IFERROR(INDEX(Credit_KPIs_Tbl[Total Number Contracts],MATCH($A37,Credit_KPIs_Tbl[Date - التاريخ],0)),""))</f>
        <v/>
      </c>
      <c r="E37">
        <f>IF($A37&gt;TODAY(),"",IFERROR(INDEX(Credit_KPIs_Tbl[Cancelled],MATCH($A37,Credit_KPIs_Tbl[Date - التاريخ],0)),""))</f>
        <v/>
      </c>
      <c r="F37">
        <f>IF($A37&gt;TODAY(),"",SUMIFS(Collection_Summary_Tbl[Amount - المبلغ],Collection_Summary_Tbl[Item - البند],"الاجمالي",Collection_Summary_Tbl[Date To - الى],$A37))</f>
        <v/>
      </c>
      <c r="G37">
        <f>IF($A37&gt;TODAY(),"",SUMIFS(Sales_Tbl[Count - العدد],Sales_Tbl[Date - التاريخ],$A37))</f>
        <v/>
      </c>
      <c r="H37">
        <f>IF($A37&gt;TODAY(),"",SUMIFS(Sales_Tbl[Count - العدد],Sales_Tbl[Status - الحالة],"Accepted - تم التنفيذ",Sales_Tbl[Date - التاريخ],$A37))</f>
        <v/>
      </c>
      <c r="I37">
        <f>IF($A37&gt;TODAY(),"",SUMIFS(Customer_Care_Tbl[Active - نشط],Customer_Care_Tbl[Date - التاريخ],$A37))</f>
        <v/>
      </c>
      <c r="J37">
        <f>IF($A37&gt;TODAY(),"",SUMIFS(Customer_Care_Tbl[Close - مغلق],Customer_Care_Tbl[Date - التاريخ],$A37))</f>
        <v/>
      </c>
    </row>
    <row r="38">
      <c r="A38">
        <f>A37+1</f>
        <v/>
      </c>
      <c r="B38">
        <f>IF($A38&gt;TODAY(),"",IFERROR(INDEX(Credit_KPIs_Tbl[Total Financing Amount],MATCH($A38,Credit_KPIs_Tbl[Date - التاريخ],0)),""))</f>
        <v/>
      </c>
      <c r="C38">
        <f>IF($A38&gt;TODAY(),"",IFERROR(INDEX(Credit_KPIs_Tbl[Today Financing Amount],MATCH($A38,Credit_KPIs_Tbl[Date - التاريخ],0)),""))</f>
        <v/>
      </c>
      <c r="D38">
        <f>IF($A38&gt;TODAY(),"",IFERROR(INDEX(Credit_KPIs_Tbl[Total Number Contracts],MATCH($A38,Credit_KPIs_Tbl[Date - التاريخ],0)),""))</f>
        <v/>
      </c>
      <c r="E38">
        <f>IF($A38&gt;TODAY(),"",IFERROR(INDEX(Credit_KPIs_Tbl[Cancelled],MATCH($A38,Credit_KPIs_Tbl[Date - التاريخ],0)),""))</f>
        <v/>
      </c>
      <c r="F38">
        <f>IF($A38&gt;TODAY(),"",SUMIFS(Collection_Summary_Tbl[Amount - المبلغ],Collection_Summary_Tbl[Item - البند],"الاجمالي",Collection_Summary_Tbl[Date To - الى],$A38))</f>
        <v/>
      </c>
      <c r="G38">
        <f>IF($A38&gt;TODAY(),"",SUMIFS(Sales_Tbl[Count - العدد],Sales_Tbl[Date - التاريخ],$A38))</f>
        <v/>
      </c>
      <c r="H38">
        <f>IF($A38&gt;TODAY(),"",SUMIFS(Sales_Tbl[Count - العدد],Sales_Tbl[Status - الحالة],"Accepted - تم التنفيذ",Sales_Tbl[Date - التاريخ],$A38))</f>
        <v/>
      </c>
      <c r="I38">
        <f>IF($A38&gt;TODAY(),"",SUMIFS(Customer_Care_Tbl[Active - نشط],Customer_Care_Tbl[Date - التاريخ],$A38))</f>
        <v/>
      </c>
      <c r="J38">
        <f>IF($A38&gt;TODAY(),"",SUMIFS(Customer_Care_Tbl[Close - مغلق],Customer_Care_Tbl[Date - التاريخ],$A38))</f>
        <v/>
      </c>
    </row>
    <row r="39">
      <c r="A39">
        <f>A38+1</f>
        <v/>
      </c>
      <c r="B39">
        <f>IF($A39&gt;TODAY(),"",IFERROR(INDEX(Credit_KPIs_Tbl[Total Financing Amount],MATCH($A39,Credit_KPIs_Tbl[Date - التاريخ],0)),""))</f>
        <v/>
      </c>
      <c r="C39">
        <f>IF($A39&gt;TODAY(),"",IFERROR(INDEX(Credit_KPIs_Tbl[Today Financing Amount],MATCH($A39,Credit_KPIs_Tbl[Date - التاريخ],0)),""))</f>
        <v/>
      </c>
      <c r="D39">
        <f>IF($A39&gt;TODAY(),"",IFERROR(INDEX(Credit_KPIs_Tbl[Total Number Contracts],MATCH($A39,Credit_KPIs_Tbl[Date - التاريخ],0)),""))</f>
        <v/>
      </c>
      <c r="E39">
        <f>IF($A39&gt;TODAY(),"",IFERROR(INDEX(Credit_KPIs_Tbl[Cancelled],MATCH($A39,Credit_KPIs_Tbl[Date - التاريخ],0)),""))</f>
        <v/>
      </c>
      <c r="F39">
        <f>IF($A39&gt;TODAY(),"",SUMIFS(Collection_Summary_Tbl[Amount - المبلغ],Collection_Summary_Tbl[Item - البند],"الاجمالي",Collection_Summary_Tbl[Date To - الى],$A39))</f>
        <v/>
      </c>
      <c r="G39">
        <f>IF($A39&gt;TODAY(),"",SUMIFS(Sales_Tbl[Count - العدد],Sales_Tbl[Date - التاريخ],$A39))</f>
        <v/>
      </c>
      <c r="H39">
        <f>IF($A39&gt;TODAY(),"",SUMIFS(Sales_Tbl[Count - العدد],Sales_Tbl[Status - الحالة],"Accepted - تم التنفيذ",Sales_Tbl[Date - التاريخ],$A39))</f>
        <v/>
      </c>
      <c r="I39">
        <f>IF($A39&gt;TODAY(),"",SUMIFS(Customer_Care_Tbl[Active - نشط],Customer_Care_Tbl[Date - التاريخ],$A39))</f>
        <v/>
      </c>
      <c r="J39">
        <f>IF($A39&gt;TODAY(),"",SUMIFS(Customer_Care_Tbl[Close - مغلق],Customer_Care_Tbl[Date - التاريخ],$A39))</f>
        <v/>
      </c>
    </row>
    <row r="40">
      <c r="A40">
        <f>A39+1</f>
        <v/>
      </c>
      <c r="B40">
        <f>IF($A40&gt;TODAY(),"",IFERROR(INDEX(Credit_KPIs_Tbl[Total Financing Amount],MATCH($A40,Credit_KPIs_Tbl[Date - التاريخ],0)),""))</f>
        <v/>
      </c>
      <c r="C40">
        <f>IF($A40&gt;TODAY(),"",IFERROR(INDEX(Credit_KPIs_Tbl[Today Financing Amount],MATCH($A40,Credit_KPIs_Tbl[Date - التاريخ],0)),""))</f>
        <v/>
      </c>
      <c r="D40">
        <f>IF($A40&gt;TODAY(),"",IFERROR(INDEX(Credit_KPIs_Tbl[Total Number Contracts],MATCH($A40,Credit_KPIs_Tbl[Date - التاريخ],0)),""))</f>
        <v/>
      </c>
      <c r="E40">
        <f>IF($A40&gt;TODAY(),"",IFERROR(INDEX(Credit_KPIs_Tbl[Cancelled],MATCH($A40,Credit_KPIs_Tbl[Date - التاريخ],0)),""))</f>
        <v/>
      </c>
      <c r="F40">
        <f>IF($A40&gt;TODAY(),"",SUMIFS(Collection_Summary_Tbl[Amount - المبلغ],Collection_Summary_Tbl[Item - البند],"الاجمالي",Collection_Summary_Tbl[Date To - الى],$A40))</f>
        <v/>
      </c>
      <c r="G40">
        <f>IF($A40&gt;TODAY(),"",SUMIFS(Sales_Tbl[Count - العدد],Sales_Tbl[Date - التاريخ],$A40))</f>
        <v/>
      </c>
      <c r="H40">
        <f>IF($A40&gt;TODAY(),"",SUMIFS(Sales_Tbl[Count - العدد],Sales_Tbl[Status - الحالة],"Accepted - تم التنفيذ",Sales_Tbl[Date - التاريخ],$A40))</f>
        <v/>
      </c>
      <c r="I40">
        <f>IF($A40&gt;TODAY(),"",SUMIFS(Customer_Care_Tbl[Active - نشط],Customer_Care_Tbl[Date - التاريخ],$A40))</f>
        <v/>
      </c>
      <c r="J40">
        <f>IF($A40&gt;TODAY(),"",SUMIFS(Customer_Care_Tbl[Close - مغلق],Customer_Care_Tbl[Date - التاريخ],$A40))</f>
        <v/>
      </c>
    </row>
    <row r="41">
      <c r="A41">
        <f>A40+1</f>
        <v/>
      </c>
      <c r="B41">
        <f>IF($A41&gt;TODAY(),"",IFERROR(INDEX(Credit_KPIs_Tbl[Total Financing Amount],MATCH($A41,Credit_KPIs_Tbl[Date - التاريخ],0)),""))</f>
        <v/>
      </c>
      <c r="C41">
        <f>IF($A41&gt;TODAY(),"",IFERROR(INDEX(Credit_KPIs_Tbl[Today Financing Amount],MATCH($A41,Credit_KPIs_Tbl[Date - التاريخ],0)),""))</f>
        <v/>
      </c>
      <c r="D41">
        <f>IF($A41&gt;TODAY(),"",IFERROR(INDEX(Credit_KPIs_Tbl[Total Number Contracts],MATCH($A41,Credit_KPIs_Tbl[Date - التاريخ],0)),""))</f>
        <v/>
      </c>
      <c r="E41">
        <f>IF($A41&gt;TODAY(),"",IFERROR(INDEX(Credit_KPIs_Tbl[Cancelled],MATCH($A41,Credit_KPIs_Tbl[Date - التاريخ],0)),""))</f>
        <v/>
      </c>
      <c r="F41">
        <f>IF($A41&gt;TODAY(),"",SUMIFS(Collection_Summary_Tbl[Amount - المبلغ],Collection_Summary_Tbl[Item - البند],"الاجمالي",Collection_Summary_Tbl[Date To - الى],$A41))</f>
        <v/>
      </c>
      <c r="G41">
        <f>IF($A41&gt;TODAY(),"",SUMIFS(Sales_Tbl[Count - العدد],Sales_Tbl[Date - التاريخ],$A41))</f>
        <v/>
      </c>
      <c r="H41">
        <f>IF($A41&gt;TODAY(),"",SUMIFS(Sales_Tbl[Count - العدد],Sales_Tbl[Status - الحالة],"Accepted - تم التنفيذ",Sales_Tbl[Date - التاريخ],$A41))</f>
        <v/>
      </c>
      <c r="I41">
        <f>IF($A41&gt;TODAY(),"",SUMIFS(Customer_Care_Tbl[Active - نشط],Customer_Care_Tbl[Date - التاريخ],$A41))</f>
        <v/>
      </c>
      <c r="J41">
        <f>IF($A41&gt;TODAY(),"",SUMIFS(Customer_Care_Tbl[Close - مغلق],Customer_Care_Tbl[Date - التاريخ],$A41))</f>
        <v/>
      </c>
    </row>
    <row r="42">
      <c r="A42">
        <f>A41+1</f>
        <v/>
      </c>
      <c r="B42">
        <f>IF($A42&gt;TODAY(),"",IFERROR(INDEX(Credit_KPIs_Tbl[Total Financing Amount],MATCH($A42,Credit_KPIs_Tbl[Date - التاريخ],0)),""))</f>
        <v/>
      </c>
      <c r="C42">
        <f>IF($A42&gt;TODAY(),"",IFERROR(INDEX(Credit_KPIs_Tbl[Today Financing Amount],MATCH($A42,Credit_KPIs_Tbl[Date - التاريخ],0)),""))</f>
        <v/>
      </c>
      <c r="D42">
        <f>IF($A42&gt;TODAY(),"",IFERROR(INDEX(Credit_KPIs_Tbl[Total Number Contracts],MATCH($A42,Credit_KPIs_Tbl[Date - التاريخ],0)),""))</f>
        <v/>
      </c>
      <c r="E42">
        <f>IF($A42&gt;TODAY(),"",IFERROR(INDEX(Credit_KPIs_Tbl[Cancelled],MATCH($A42,Credit_KPIs_Tbl[Date - التاريخ],0)),""))</f>
        <v/>
      </c>
      <c r="F42">
        <f>IF($A42&gt;TODAY(),"",SUMIFS(Collection_Summary_Tbl[Amount - المبلغ],Collection_Summary_Tbl[Item - البند],"الاجمالي",Collection_Summary_Tbl[Date To - الى],$A42))</f>
        <v/>
      </c>
      <c r="G42">
        <f>IF($A42&gt;TODAY(),"",SUMIFS(Sales_Tbl[Count - العدد],Sales_Tbl[Date - التاريخ],$A42))</f>
        <v/>
      </c>
      <c r="H42">
        <f>IF($A42&gt;TODAY(),"",SUMIFS(Sales_Tbl[Count - العدد],Sales_Tbl[Status - الحالة],"Accepted - تم التنفيذ",Sales_Tbl[Date - التاريخ],$A42))</f>
        <v/>
      </c>
      <c r="I42">
        <f>IF($A42&gt;TODAY(),"",SUMIFS(Customer_Care_Tbl[Active - نشط],Customer_Care_Tbl[Date - التاريخ],$A42))</f>
        <v/>
      </c>
      <c r="J42">
        <f>IF($A42&gt;TODAY(),"",SUMIFS(Customer_Care_Tbl[Close - مغلق],Customer_Care_Tbl[Date - التاريخ],$A42))</f>
        <v/>
      </c>
    </row>
    <row r="43">
      <c r="A43">
        <f>A42+1</f>
        <v/>
      </c>
      <c r="B43">
        <f>IF($A43&gt;TODAY(),"",IFERROR(INDEX(Credit_KPIs_Tbl[Total Financing Amount],MATCH($A43,Credit_KPIs_Tbl[Date - التاريخ],0)),""))</f>
        <v/>
      </c>
      <c r="C43">
        <f>IF($A43&gt;TODAY(),"",IFERROR(INDEX(Credit_KPIs_Tbl[Today Financing Amount],MATCH($A43,Credit_KPIs_Tbl[Date - التاريخ],0)),""))</f>
        <v/>
      </c>
      <c r="D43">
        <f>IF($A43&gt;TODAY(),"",IFERROR(INDEX(Credit_KPIs_Tbl[Total Number Contracts],MATCH($A43,Credit_KPIs_Tbl[Date - التاريخ],0)),""))</f>
        <v/>
      </c>
      <c r="E43">
        <f>IF($A43&gt;TODAY(),"",IFERROR(INDEX(Credit_KPIs_Tbl[Cancelled],MATCH($A43,Credit_KPIs_Tbl[Date - التاريخ],0)),""))</f>
        <v/>
      </c>
      <c r="F43">
        <f>IF($A43&gt;TODAY(),"",SUMIFS(Collection_Summary_Tbl[Amount - المبلغ],Collection_Summary_Tbl[Item - البند],"الاجمالي",Collection_Summary_Tbl[Date To - الى],$A43))</f>
        <v/>
      </c>
      <c r="G43">
        <f>IF($A43&gt;TODAY(),"",SUMIFS(Sales_Tbl[Count - العدد],Sales_Tbl[Date - التاريخ],$A43))</f>
        <v/>
      </c>
      <c r="H43">
        <f>IF($A43&gt;TODAY(),"",SUMIFS(Sales_Tbl[Count - العدد],Sales_Tbl[Status - الحالة],"Accepted - تم التنفيذ",Sales_Tbl[Date - التاريخ],$A43))</f>
        <v/>
      </c>
      <c r="I43">
        <f>IF($A43&gt;TODAY(),"",SUMIFS(Customer_Care_Tbl[Active - نشط],Customer_Care_Tbl[Date - التاريخ],$A43))</f>
        <v/>
      </c>
      <c r="J43">
        <f>IF($A43&gt;TODAY(),"",SUMIFS(Customer_Care_Tbl[Close - مغلق],Customer_Care_Tbl[Date - التاريخ],$A43))</f>
        <v/>
      </c>
    </row>
    <row r="44">
      <c r="A44">
        <f>A43+1</f>
        <v/>
      </c>
      <c r="B44">
        <f>IF($A44&gt;TODAY(),"",IFERROR(INDEX(Credit_KPIs_Tbl[Total Financing Amount],MATCH($A44,Credit_KPIs_Tbl[Date - التاريخ],0)),""))</f>
        <v/>
      </c>
      <c r="C44">
        <f>IF($A44&gt;TODAY(),"",IFERROR(INDEX(Credit_KPIs_Tbl[Today Financing Amount],MATCH($A44,Credit_KPIs_Tbl[Date - التاريخ],0)),""))</f>
        <v/>
      </c>
      <c r="D44">
        <f>IF($A44&gt;TODAY(),"",IFERROR(INDEX(Credit_KPIs_Tbl[Total Number Contracts],MATCH($A44,Credit_KPIs_Tbl[Date - التاريخ],0)),""))</f>
        <v/>
      </c>
      <c r="E44">
        <f>IF($A44&gt;TODAY(),"",IFERROR(INDEX(Credit_KPIs_Tbl[Cancelled],MATCH($A44,Credit_KPIs_Tbl[Date - التاريخ],0)),""))</f>
        <v/>
      </c>
      <c r="F44">
        <f>IF($A44&gt;TODAY(),"",SUMIFS(Collection_Summary_Tbl[Amount - المبلغ],Collection_Summary_Tbl[Item - البند],"الاجمالي",Collection_Summary_Tbl[Date To - الى],$A44))</f>
        <v/>
      </c>
      <c r="G44">
        <f>IF($A44&gt;TODAY(),"",SUMIFS(Sales_Tbl[Count - العدد],Sales_Tbl[Date - التاريخ],$A44))</f>
        <v/>
      </c>
      <c r="H44">
        <f>IF($A44&gt;TODAY(),"",SUMIFS(Sales_Tbl[Count - العدد],Sales_Tbl[Status - الحالة],"Accepted - تم التنفيذ",Sales_Tbl[Date - التاريخ],$A44))</f>
        <v/>
      </c>
      <c r="I44">
        <f>IF($A44&gt;TODAY(),"",SUMIFS(Customer_Care_Tbl[Active - نشط],Customer_Care_Tbl[Date - التاريخ],$A44))</f>
        <v/>
      </c>
      <c r="J44">
        <f>IF($A44&gt;TODAY(),"",SUMIFS(Customer_Care_Tbl[Close - مغلق],Customer_Care_Tbl[Date - التاريخ],$A44))</f>
        <v/>
      </c>
    </row>
    <row r="45">
      <c r="A45">
        <f>A44+1</f>
        <v/>
      </c>
      <c r="B45">
        <f>IF($A45&gt;TODAY(),"",IFERROR(INDEX(Credit_KPIs_Tbl[Total Financing Amount],MATCH($A45,Credit_KPIs_Tbl[Date - التاريخ],0)),""))</f>
        <v/>
      </c>
      <c r="C45">
        <f>IF($A45&gt;TODAY(),"",IFERROR(INDEX(Credit_KPIs_Tbl[Today Financing Amount],MATCH($A45,Credit_KPIs_Tbl[Date - التاريخ],0)),""))</f>
        <v/>
      </c>
      <c r="D45">
        <f>IF($A45&gt;TODAY(),"",IFERROR(INDEX(Credit_KPIs_Tbl[Total Number Contracts],MATCH($A45,Credit_KPIs_Tbl[Date - التاريخ],0)),""))</f>
        <v/>
      </c>
      <c r="E45">
        <f>IF($A45&gt;TODAY(),"",IFERROR(INDEX(Credit_KPIs_Tbl[Cancelled],MATCH($A45,Credit_KPIs_Tbl[Date - التاريخ],0)),""))</f>
        <v/>
      </c>
      <c r="F45">
        <f>IF($A45&gt;TODAY(),"",SUMIFS(Collection_Summary_Tbl[Amount - المبلغ],Collection_Summary_Tbl[Item - البند],"الاجمالي",Collection_Summary_Tbl[Date To - الى],$A45))</f>
        <v/>
      </c>
      <c r="G45">
        <f>IF($A45&gt;TODAY(),"",SUMIFS(Sales_Tbl[Count - العدد],Sales_Tbl[Date - التاريخ],$A45))</f>
        <v/>
      </c>
      <c r="H45">
        <f>IF($A45&gt;TODAY(),"",SUMIFS(Sales_Tbl[Count - العدد],Sales_Tbl[Status - الحالة],"Accepted - تم التنفيذ",Sales_Tbl[Date - التاريخ],$A45))</f>
        <v/>
      </c>
      <c r="I45">
        <f>IF($A45&gt;TODAY(),"",SUMIFS(Customer_Care_Tbl[Active - نشط],Customer_Care_Tbl[Date - التاريخ],$A45))</f>
        <v/>
      </c>
      <c r="J45">
        <f>IF($A45&gt;TODAY(),"",SUMIFS(Customer_Care_Tbl[Close - مغلق],Customer_Care_Tbl[Date - التاريخ],$A45))</f>
        <v/>
      </c>
    </row>
    <row r="46">
      <c r="A46">
        <f>A45+1</f>
        <v/>
      </c>
      <c r="B46">
        <f>IF($A46&gt;TODAY(),"",IFERROR(INDEX(Credit_KPIs_Tbl[Total Financing Amount],MATCH($A46,Credit_KPIs_Tbl[Date - التاريخ],0)),""))</f>
        <v/>
      </c>
      <c r="C46">
        <f>IF($A46&gt;TODAY(),"",IFERROR(INDEX(Credit_KPIs_Tbl[Today Financing Amount],MATCH($A46,Credit_KPIs_Tbl[Date - التاريخ],0)),""))</f>
        <v/>
      </c>
      <c r="D46">
        <f>IF($A46&gt;TODAY(),"",IFERROR(INDEX(Credit_KPIs_Tbl[Total Number Contracts],MATCH($A46,Credit_KPIs_Tbl[Date - التاريخ],0)),""))</f>
        <v/>
      </c>
      <c r="E46">
        <f>IF($A46&gt;TODAY(),"",IFERROR(INDEX(Credit_KPIs_Tbl[Cancelled],MATCH($A46,Credit_KPIs_Tbl[Date - التاريخ],0)),""))</f>
        <v/>
      </c>
      <c r="F46">
        <f>IF($A46&gt;TODAY(),"",SUMIFS(Collection_Summary_Tbl[Amount - المبلغ],Collection_Summary_Tbl[Item - البند],"الاجمالي",Collection_Summary_Tbl[Date To - الى],$A46))</f>
        <v/>
      </c>
      <c r="G46">
        <f>IF($A46&gt;TODAY(),"",SUMIFS(Sales_Tbl[Count - العدد],Sales_Tbl[Date - التاريخ],$A46))</f>
        <v/>
      </c>
      <c r="H46">
        <f>IF($A46&gt;TODAY(),"",SUMIFS(Sales_Tbl[Count - العدد],Sales_Tbl[Status - الحالة],"Accepted - تم التنفيذ",Sales_Tbl[Date - التاريخ],$A46))</f>
        <v/>
      </c>
      <c r="I46">
        <f>IF($A46&gt;TODAY(),"",SUMIFS(Customer_Care_Tbl[Active - نشط],Customer_Care_Tbl[Date - التاريخ],$A46))</f>
        <v/>
      </c>
      <c r="J46">
        <f>IF($A46&gt;TODAY(),"",SUMIFS(Customer_Care_Tbl[Close - مغلق],Customer_Care_Tbl[Date - التاريخ],$A46))</f>
        <v/>
      </c>
    </row>
    <row r="47">
      <c r="A47">
        <f>A46+1</f>
        <v/>
      </c>
      <c r="B47">
        <f>IF($A47&gt;TODAY(),"",IFERROR(INDEX(Credit_KPIs_Tbl[Total Financing Amount],MATCH($A47,Credit_KPIs_Tbl[Date - التاريخ],0)),""))</f>
        <v/>
      </c>
      <c r="C47">
        <f>IF($A47&gt;TODAY(),"",IFERROR(INDEX(Credit_KPIs_Tbl[Today Financing Amount],MATCH($A47,Credit_KPIs_Tbl[Date - التاريخ],0)),""))</f>
        <v/>
      </c>
      <c r="D47">
        <f>IF($A47&gt;TODAY(),"",IFERROR(INDEX(Credit_KPIs_Tbl[Total Number Contracts],MATCH($A47,Credit_KPIs_Tbl[Date - التاريخ],0)),""))</f>
        <v/>
      </c>
      <c r="E47">
        <f>IF($A47&gt;TODAY(),"",IFERROR(INDEX(Credit_KPIs_Tbl[Cancelled],MATCH($A47,Credit_KPIs_Tbl[Date - التاريخ],0)),""))</f>
        <v/>
      </c>
      <c r="F47">
        <f>IF($A47&gt;TODAY(),"",SUMIFS(Collection_Summary_Tbl[Amount - المبلغ],Collection_Summary_Tbl[Item - البند],"الاجمالي",Collection_Summary_Tbl[Date To - الى],$A47))</f>
        <v/>
      </c>
      <c r="G47">
        <f>IF($A47&gt;TODAY(),"",SUMIFS(Sales_Tbl[Count - العدد],Sales_Tbl[Date - التاريخ],$A47))</f>
        <v/>
      </c>
      <c r="H47">
        <f>IF($A47&gt;TODAY(),"",SUMIFS(Sales_Tbl[Count - العدد],Sales_Tbl[Status - الحالة],"Accepted - تم التنفيذ",Sales_Tbl[Date - التاريخ],$A47))</f>
        <v/>
      </c>
      <c r="I47">
        <f>IF($A47&gt;TODAY(),"",SUMIFS(Customer_Care_Tbl[Active - نشط],Customer_Care_Tbl[Date - التاريخ],$A47))</f>
        <v/>
      </c>
      <c r="J47">
        <f>IF($A47&gt;TODAY(),"",SUMIFS(Customer_Care_Tbl[Close - مغلق],Customer_Care_Tbl[Date - التاريخ],$A47))</f>
        <v/>
      </c>
    </row>
    <row r="48">
      <c r="A48">
        <f>A47+1</f>
        <v/>
      </c>
      <c r="B48">
        <f>IF($A48&gt;TODAY(),"",IFERROR(INDEX(Credit_KPIs_Tbl[Total Financing Amount],MATCH($A48,Credit_KPIs_Tbl[Date - التاريخ],0)),""))</f>
        <v/>
      </c>
      <c r="C48">
        <f>IF($A48&gt;TODAY(),"",IFERROR(INDEX(Credit_KPIs_Tbl[Today Financing Amount],MATCH($A48,Credit_KPIs_Tbl[Date - التاريخ],0)),""))</f>
        <v/>
      </c>
      <c r="D48">
        <f>IF($A48&gt;TODAY(),"",IFERROR(INDEX(Credit_KPIs_Tbl[Total Number Contracts],MATCH($A48,Credit_KPIs_Tbl[Date - التاريخ],0)),""))</f>
        <v/>
      </c>
      <c r="E48">
        <f>IF($A48&gt;TODAY(),"",IFERROR(INDEX(Credit_KPIs_Tbl[Cancelled],MATCH($A48,Credit_KPIs_Tbl[Date - التاريخ],0)),""))</f>
        <v/>
      </c>
      <c r="F48">
        <f>IF($A48&gt;TODAY(),"",SUMIFS(Collection_Summary_Tbl[Amount - المبلغ],Collection_Summary_Tbl[Item - البند],"الاجمالي",Collection_Summary_Tbl[Date To - الى],$A48))</f>
        <v/>
      </c>
      <c r="G48">
        <f>IF($A48&gt;TODAY(),"",SUMIFS(Sales_Tbl[Count - العدد],Sales_Tbl[Date - التاريخ],$A48))</f>
        <v/>
      </c>
      <c r="H48">
        <f>IF($A48&gt;TODAY(),"",SUMIFS(Sales_Tbl[Count - العدد],Sales_Tbl[Status - الحالة],"Accepted - تم التنفيذ",Sales_Tbl[Date - التاريخ],$A48))</f>
        <v/>
      </c>
      <c r="I48">
        <f>IF($A48&gt;TODAY(),"",SUMIFS(Customer_Care_Tbl[Active - نشط],Customer_Care_Tbl[Date - التاريخ],$A48))</f>
        <v/>
      </c>
      <c r="J48">
        <f>IF($A48&gt;TODAY(),"",SUMIFS(Customer_Care_Tbl[Close - مغلق],Customer_Care_Tbl[Date - التاريخ],$A48))</f>
        <v/>
      </c>
    </row>
    <row r="49">
      <c r="A49">
        <f>A48+1</f>
        <v/>
      </c>
      <c r="B49">
        <f>IF($A49&gt;TODAY(),"",IFERROR(INDEX(Credit_KPIs_Tbl[Total Financing Amount],MATCH($A49,Credit_KPIs_Tbl[Date - التاريخ],0)),""))</f>
        <v/>
      </c>
      <c r="C49">
        <f>IF($A49&gt;TODAY(),"",IFERROR(INDEX(Credit_KPIs_Tbl[Today Financing Amount],MATCH($A49,Credit_KPIs_Tbl[Date - التاريخ],0)),""))</f>
        <v/>
      </c>
      <c r="D49">
        <f>IF($A49&gt;TODAY(),"",IFERROR(INDEX(Credit_KPIs_Tbl[Total Number Contracts],MATCH($A49,Credit_KPIs_Tbl[Date - التاريخ],0)),""))</f>
        <v/>
      </c>
      <c r="E49">
        <f>IF($A49&gt;TODAY(),"",IFERROR(INDEX(Credit_KPIs_Tbl[Cancelled],MATCH($A49,Credit_KPIs_Tbl[Date - التاريخ],0)),""))</f>
        <v/>
      </c>
      <c r="F49">
        <f>IF($A49&gt;TODAY(),"",SUMIFS(Collection_Summary_Tbl[Amount - المبلغ],Collection_Summary_Tbl[Item - البند],"الاجمالي",Collection_Summary_Tbl[Date To - الى],$A49))</f>
        <v/>
      </c>
      <c r="G49">
        <f>IF($A49&gt;TODAY(),"",SUMIFS(Sales_Tbl[Count - العدد],Sales_Tbl[Date - التاريخ],$A49))</f>
        <v/>
      </c>
      <c r="H49">
        <f>IF($A49&gt;TODAY(),"",SUMIFS(Sales_Tbl[Count - العدد],Sales_Tbl[Status - الحالة],"Accepted - تم التنفيذ",Sales_Tbl[Date - التاريخ],$A49))</f>
        <v/>
      </c>
      <c r="I49">
        <f>IF($A49&gt;TODAY(),"",SUMIFS(Customer_Care_Tbl[Active - نشط],Customer_Care_Tbl[Date - التاريخ],$A49))</f>
        <v/>
      </c>
      <c r="J49">
        <f>IF($A49&gt;TODAY(),"",SUMIFS(Customer_Care_Tbl[Close - مغلق],Customer_Care_Tbl[Date - التاريخ],$A49))</f>
        <v/>
      </c>
    </row>
    <row r="50">
      <c r="A50">
        <f>A49+1</f>
        <v/>
      </c>
      <c r="B50">
        <f>IF($A50&gt;TODAY(),"",IFERROR(INDEX(Credit_KPIs_Tbl[Total Financing Amount],MATCH($A50,Credit_KPIs_Tbl[Date - التاريخ],0)),""))</f>
        <v/>
      </c>
      <c r="C50">
        <f>IF($A50&gt;TODAY(),"",IFERROR(INDEX(Credit_KPIs_Tbl[Today Financing Amount],MATCH($A50,Credit_KPIs_Tbl[Date - التاريخ],0)),""))</f>
        <v/>
      </c>
      <c r="D50">
        <f>IF($A50&gt;TODAY(),"",IFERROR(INDEX(Credit_KPIs_Tbl[Total Number Contracts],MATCH($A50,Credit_KPIs_Tbl[Date - التاريخ],0)),""))</f>
        <v/>
      </c>
      <c r="E50">
        <f>IF($A50&gt;TODAY(),"",IFERROR(INDEX(Credit_KPIs_Tbl[Cancelled],MATCH($A50,Credit_KPIs_Tbl[Date - التاريخ],0)),""))</f>
        <v/>
      </c>
      <c r="F50">
        <f>IF($A50&gt;TODAY(),"",SUMIFS(Collection_Summary_Tbl[Amount - المبلغ],Collection_Summary_Tbl[Item - البند],"الاجمالي",Collection_Summary_Tbl[Date To - الى],$A50))</f>
        <v/>
      </c>
      <c r="G50">
        <f>IF($A50&gt;TODAY(),"",SUMIFS(Sales_Tbl[Count - العدد],Sales_Tbl[Date - التاريخ],$A50))</f>
        <v/>
      </c>
      <c r="H50">
        <f>IF($A50&gt;TODAY(),"",SUMIFS(Sales_Tbl[Count - العدد],Sales_Tbl[Status - الحالة],"Accepted - تم التنفيذ",Sales_Tbl[Date - التاريخ],$A50))</f>
        <v/>
      </c>
      <c r="I50">
        <f>IF($A50&gt;TODAY(),"",SUMIFS(Customer_Care_Tbl[Active - نشط],Customer_Care_Tbl[Date - التاريخ],$A50))</f>
        <v/>
      </c>
      <c r="J50">
        <f>IF($A50&gt;TODAY(),"",SUMIFS(Customer_Care_Tbl[Close - مغلق],Customer_Care_Tbl[Date - التاريخ],$A50))</f>
        <v/>
      </c>
    </row>
    <row r="51">
      <c r="A51">
        <f>A50+1</f>
        <v/>
      </c>
      <c r="B51">
        <f>IF($A51&gt;TODAY(),"",IFERROR(INDEX(Credit_KPIs_Tbl[Total Financing Amount],MATCH($A51,Credit_KPIs_Tbl[Date - التاريخ],0)),""))</f>
        <v/>
      </c>
      <c r="C51">
        <f>IF($A51&gt;TODAY(),"",IFERROR(INDEX(Credit_KPIs_Tbl[Today Financing Amount],MATCH($A51,Credit_KPIs_Tbl[Date - التاريخ],0)),""))</f>
        <v/>
      </c>
      <c r="D51">
        <f>IF($A51&gt;TODAY(),"",IFERROR(INDEX(Credit_KPIs_Tbl[Total Number Contracts],MATCH($A51,Credit_KPIs_Tbl[Date - التاريخ],0)),""))</f>
        <v/>
      </c>
      <c r="E51">
        <f>IF($A51&gt;TODAY(),"",IFERROR(INDEX(Credit_KPIs_Tbl[Cancelled],MATCH($A51,Credit_KPIs_Tbl[Date - التاريخ],0)),""))</f>
        <v/>
      </c>
      <c r="F51">
        <f>IF($A51&gt;TODAY(),"",SUMIFS(Collection_Summary_Tbl[Amount - المبلغ],Collection_Summary_Tbl[Item - البند],"الاجمالي",Collection_Summary_Tbl[Date To - الى],$A51))</f>
        <v/>
      </c>
      <c r="G51">
        <f>IF($A51&gt;TODAY(),"",SUMIFS(Sales_Tbl[Count - العدد],Sales_Tbl[Date - التاريخ],$A51))</f>
        <v/>
      </c>
      <c r="H51">
        <f>IF($A51&gt;TODAY(),"",SUMIFS(Sales_Tbl[Count - العدد],Sales_Tbl[Status - الحالة],"Accepted - تم التنفيذ",Sales_Tbl[Date - التاريخ],$A51))</f>
        <v/>
      </c>
      <c r="I51">
        <f>IF($A51&gt;TODAY(),"",SUMIFS(Customer_Care_Tbl[Active - نشط],Customer_Care_Tbl[Date - التاريخ],$A51))</f>
        <v/>
      </c>
      <c r="J51">
        <f>IF($A51&gt;TODAY(),"",SUMIFS(Customer_Care_Tbl[Close - مغلق],Customer_Care_Tbl[Date - التاريخ],$A51))</f>
        <v/>
      </c>
    </row>
    <row r="52">
      <c r="A52">
        <f>A51+1</f>
        <v/>
      </c>
      <c r="B52">
        <f>IF($A52&gt;TODAY(),"",IFERROR(INDEX(Credit_KPIs_Tbl[Total Financing Amount],MATCH($A52,Credit_KPIs_Tbl[Date - التاريخ],0)),""))</f>
        <v/>
      </c>
      <c r="C52">
        <f>IF($A52&gt;TODAY(),"",IFERROR(INDEX(Credit_KPIs_Tbl[Today Financing Amount],MATCH($A52,Credit_KPIs_Tbl[Date - التاريخ],0)),""))</f>
        <v/>
      </c>
      <c r="D52">
        <f>IF($A52&gt;TODAY(),"",IFERROR(INDEX(Credit_KPIs_Tbl[Total Number Contracts],MATCH($A52,Credit_KPIs_Tbl[Date - التاريخ],0)),""))</f>
        <v/>
      </c>
      <c r="E52">
        <f>IF($A52&gt;TODAY(),"",IFERROR(INDEX(Credit_KPIs_Tbl[Cancelled],MATCH($A52,Credit_KPIs_Tbl[Date - التاريخ],0)),""))</f>
        <v/>
      </c>
      <c r="F52">
        <f>IF($A52&gt;TODAY(),"",SUMIFS(Collection_Summary_Tbl[Amount - المبلغ],Collection_Summary_Tbl[Item - البند],"الاجمالي",Collection_Summary_Tbl[Date To - الى],$A52))</f>
        <v/>
      </c>
      <c r="G52">
        <f>IF($A52&gt;TODAY(),"",SUMIFS(Sales_Tbl[Count - العدد],Sales_Tbl[Date - التاريخ],$A52))</f>
        <v/>
      </c>
      <c r="H52">
        <f>IF($A52&gt;TODAY(),"",SUMIFS(Sales_Tbl[Count - العدد],Sales_Tbl[Status - الحالة],"Accepted - تم التنفيذ",Sales_Tbl[Date - التاريخ],$A52))</f>
        <v/>
      </c>
      <c r="I52">
        <f>IF($A52&gt;TODAY(),"",SUMIFS(Customer_Care_Tbl[Active - نشط],Customer_Care_Tbl[Date - التاريخ],$A52))</f>
        <v/>
      </c>
      <c r="J52">
        <f>IF($A52&gt;TODAY(),"",SUMIFS(Customer_Care_Tbl[Close - مغلق],Customer_Care_Tbl[Date - التاريخ],$A52))</f>
        <v/>
      </c>
    </row>
    <row r="53">
      <c r="A53">
        <f>A52+1</f>
        <v/>
      </c>
      <c r="B53">
        <f>IF($A53&gt;TODAY(),"",IFERROR(INDEX(Credit_KPIs_Tbl[Total Financing Amount],MATCH($A53,Credit_KPIs_Tbl[Date - التاريخ],0)),""))</f>
        <v/>
      </c>
      <c r="C53">
        <f>IF($A53&gt;TODAY(),"",IFERROR(INDEX(Credit_KPIs_Tbl[Today Financing Amount],MATCH($A53,Credit_KPIs_Tbl[Date - التاريخ],0)),""))</f>
        <v/>
      </c>
      <c r="D53">
        <f>IF($A53&gt;TODAY(),"",IFERROR(INDEX(Credit_KPIs_Tbl[Total Number Contracts],MATCH($A53,Credit_KPIs_Tbl[Date - التاريخ],0)),""))</f>
        <v/>
      </c>
      <c r="E53">
        <f>IF($A53&gt;TODAY(),"",IFERROR(INDEX(Credit_KPIs_Tbl[Cancelled],MATCH($A53,Credit_KPIs_Tbl[Date - التاريخ],0)),""))</f>
        <v/>
      </c>
      <c r="F53">
        <f>IF($A53&gt;TODAY(),"",SUMIFS(Collection_Summary_Tbl[Amount - المبلغ],Collection_Summary_Tbl[Item - البند],"الاجمالي",Collection_Summary_Tbl[Date To - الى],$A53))</f>
        <v/>
      </c>
      <c r="G53">
        <f>IF($A53&gt;TODAY(),"",SUMIFS(Sales_Tbl[Count - العدد],Sales_Tbl[Date - التاريخ],$A53))</f>
        <v/>
      </c>
      <c r="H53">
        <f>IF($A53&gt;TODAY(),"",SUMIFS(Sales_Tbl[Count - العدد],Sales_Tbl[Status - الحالة],"Accepted - تم التنفيذ",Sales_Tbl[Date - التاريخ],$A53))</f>
        <v/>
      </c>
      <c r="I53">
        <f>IF($A53&gt;TODAY(),"",SUMIFS(Customer_Care_Tbl[Active - نشط],Customer_Care_Tbl[Date - التاريخ],$A53))</f>
        <v/>
      </c>
      <c r="J53">
        <f>IF($A53&gt;TODAY(),"",SUMIFS(Customer_Care_Tbl[Close - مغلق],Customer_Care_Tbl[Date - التاريخ],$A53))</f>
        <v/>
      </c>
    </row>
    <row r="54">
      <c r="A54">
        <f>A53+1</f>
        <v/>
      </c>
      <c r="B54">
        <f>IF($A54&gt;TODAY(),"",IFERROR(INDEX(Credit_KPIs_Tbl[Total Financing Amount],MATCH($A54,Credit_KPIs_Tbl[Date - التاريخ],0)),""))</f>
        <v/>
      </c>
      <c r="C54">
        <f>IF($A54&gt;TODAY(),"",IFERROR(INDEX(Credit_KPIs_Tbl[Today Financing Amount],MATCH($A54,Credit_KPIs_Tbl[Date - التاريخ],0)),""))</f>
        <v/>
      </c>
      <c r="D54">
        <f>IF($A54&gt;TODAY(),"",IFERROR(INDEX(Credit_KPIs_Tbl[Total Number Contracts],MATCH($A54,Credit_KPIs_Tbl[Date - التاريخ],0)),""))</f>
        <v/>
      </c>
      <c r="E54">
        <f>IF($A54&gt;TODAY(),"",IFERROR(INDEX(Credit_KPIs_Tbl[Cancelled],MATCH($A54,Credit_KPIs_Tbl[Date - التاريخ],0)),""))</f>
        <v/>
      </c>
      <c r="F54">
        <f>IF($A54&gt;TODAY(),"",SUMIFS(Collection_Summary_Tbl[Amount - المبلغ],Collection_Summary_Tbl[Item - البند],"الاجمالي",Collection_Summary_Tbl[Date To - الى],$A54))</f>
        <v/>
      </c>
      <c r="G54">
        <f>IF($A54&gt;TODAY(),"",SUMIFS(Sales_Tbl[Count - العدد],Sales_Tbl[Date - التاريخ],$A54))</f>
        <v/>
      </c>
      <c r="H54">
        <f>IF($A54&gt;TODAY(),"",SUMIFS(Sales_Tbl[Count - العدد],Sales_Tbl[Status - الحالة],"Accepted - تم التنفيذ",Sales_Tbl[Date - التاريخ],$A54))</f>
        <v/>
      </c>
      <c r="I54">
        <f>IF($A54&gt;TODAY(),"",SUMIFS(Customer_Care_Tbl[Active - نشط],Customer_Care_Tbl[Date - التاريخ],$A54))</f>
        <v/>
      </c>
      <c r="J54">
        <f>IF($A54&gt;TODAY(),"",SUMIFS(Customer_Care_Tbl[Close - مغلق],Customer_Care_Tbl[Date - التاريخ],$A54))</f>
        <v/>
      </c>
    </row>
    <row r="55">
      <c r="A55">
        <f>A54+1</f>
        <v/>
      </c>
      <c r="B55">
        <f>IF($A55&gt;TODAY(),"",IFERROR(INDEX(Credit_KPIs_Tbl[Total Financing Amount],MATCH($A55,Credit_KPIs_Tbl[Date - التاريخ],0)),""))</f>
        <v/>
      </c>
      <c r="C55">
        <f>IF($A55&gt;TODAY(),"",IFERROR(INDEX(Credit_KPIs_Tbl[Today Financing Amount],MATCH($A55,Credit_KPIs_Tbl[Date - التاريخ],0)),""))</f>
        <v/>
      </c>
      <c r="D55">
        <f>IF($A55&gt;TODAY(),"",IFERROR(INDEX(Credit_KPIs_Tbl[Total Number Contracts],MATCH($A55,Credit_KPIs_Tbl[Date - التاريخ],0)),""))</f>
        <v/>
      </c>
      <c r="E55">
        <f>IF($A55&gt;TODAY(),"",IFERROR(INDEX(Credit_KPIs_Tbl[Cancelled],MATCH($A55,Credit_KPIs_Tbl[Date - التاريخ],0)),""))</f>
        <v/>
      </c>
      <c r="F55">
        <f>IF($A55&gt;TODAY(),"",SUMIFS(Collection_Summary_Tbl[Amount - المبلغ],Collection_Summary_Tbl[Item - البند],"الاجمالي",Collection_Summary_Tbl[Date To - الى],$A55))</f>
        <v/>
      </c>
      <c r="G55">
        <f>IF($A55&gt;TODAY(),"",SUMIFS(Sales_Tbl[Count - العدد],Sales_Tbl[Date - التاريخ],$A55))</f>
        <v/>
      </c>
      <c r="H55">
        <f>IF($A55&gt;TODAY(),"",SUMIFS(Sales_Tbl[Count - العدد],Sales_Tbl[Status - الحالة],"Accepted - تم التنفيذ",Sales_Tbl[Date - التاريخ],$A55))</f>
        <v/>
      </c>
      <c r="I55">
        <f>IF($A55&gt;TODAY(),"",SUMIFS(Customer_Care_Tbl[Active - نشط],Customer_Care_Tbl[Date - التاريخ],$A55))</f>
        <v/>
      </c>
      <c r="J55">
        <f>IF($A55&gt;TODAY(),"",SUMIFS(Customer_Care_Tbl[Close - مغلق],Customer_Care_Tbl[Date - التاريخ],$A55))</f>
        <v/>
      </c>
    </row>
    <row r="56">
      <c r="A56">
        <f>A55+1</f>
        <v/>
      </c>
      <c r="B56">
        <f>IF($A56&gt;TODAY(),"",IFERROR(INDEX(Credit_KPIs_Tbl[Total Financing Amount],MATCH($A56,Credit_KPIs_Tbl[Date - التاريخ],0)),""))</f>
        <v/>
      </c>
      <c r="C56">
        <f>IF($A56&gt;TODAY(),"",IFERROR(INDEX(Credit_KPIs_Tbl[Today Financing Amount],MATCH($A56,Credit_KPIs_Tbl[Date - التاريخ],0)),""))</f>
        <v/>
      </c>
      <c r="D56">
        <f>IF($A56&gt;TODAY(),"",IFERROR(INDEX(Credit_KPIs_Tbl[Total Number Contracts],MATCH($A56,Credit_KPIs_Tbl[Date - التاريخ],0)),""))</f>
        <v/>
      </c>
      <c r="E56">
        <f>IF($A56&gt;TODAY(),"",IFERROR(INDEX(Credit_KPIs_Tbl[Cancelled],MATCH($A56,Credit_KPIs_Tbl[Date - التاريخ],0)),""))</f>
        <v/>
      </c>
      <c r="F56">
        <f>IF($A56&gt;TODAY(),"",SUMIFS(Collection_Summary_Tbl[Amount - المبلغ],Collection_Summary_Tbl[Item - البند],"الاجمالي",Collection_Summary_Tbl[Date To - الى],$A56))</f>
        <v/>
      </c>
      <c r="G56">
        <f>IF($A56&gt;TODAY(),"",SUMIFS(Sales_Tbl[Count - العدد],Sales_Tbl[Date - التاريخ],$A56))</f>
        <v/>
      </c>
      <c r="H56">
        <f>IF($A56&gt;TODAY(),"",SUMIFS(Sales_Tbl[Count - العدد],Sales_Tbl[Status - الحالة],"Accepted - تم التنفيذ",Sales_Tbl[Date - التاريخ],$A56))</f>
        <v/>
      </c>
      <c r="I56">
        <f>IF($A56&gt;TODAY(),"",SUMIFS(Customer_Care_Tbl[Active - نشط],Customer_Care_Tbl[Date - التاريخ],$A56))</f>
        <v/>
      </c>
      <c r="J56">
        <f>IF($A56&gt;TODAY(),"",SUMIFS(Customer_Care_Tbl[Close - مغلق],Customer_Care_Tbl[Date - التاريخ],$A56))</f>
        <v/>
      </c>
    </row>
    <row r="57">
      <c r="A57">
        <f>A56+1</f>
        <v/>
      </c>
      <c r="B57">
        <f>IF($A57&gt;TODAY(),"",IFERROR(INDEX(Credit_KPIs_Tbl[Total Financing Amount],MATCH($A57,Credit_KPIs_Tbl[Date - التاريخ],0)),""))</f>
        <v/>
      </c>
      <c r="C57">
        <f>IF($A57&gt;TODAY(),"",IFERROR(INDEX(Credit_KPIs_Tbl[Today Financing Amount],MATCH($A57,Credit_KPIs_Tbl[Date - التاريخ],0)),""))</f>
        <v/>
      </c>
      <c r="D57">
        <f>IF($A57&gt;TODAY(),"",IFERROR(INDEX(Credit_KPIs_Tbl[Total Number Contracts],MATCH($A57,Credit_KPIs_Tbl[Date - التاريخ],0)),""))</f>
        <v/>
      </c>
      <c r="E57">
        <f>IF($A57&gt;TODAY(),"",IFERROR(INDEX(Credit_KPIs_Tbl[Cancelled],MATCH($A57,Credit_KPIs_Tbl[Date - التاريخ],0)),""))</f>
        <v/>
      </c>
      <c r="F57">
        <f>IF($A57&gt;TODAY(),"",SUMIFS(Collection_Summary_Tbl[Amount - المبلغ],Collection_Summary_Tbl[Item - البند],"الاجمالي",Collection_Summary_Tbl[Date To - الى],$A57))</f>
        <v/>
      </c>
      <c r="G57">
        <f>IF($A57&gt;TODAY(),"",SUMIFS(Sales_Tbl[Count - العدد],Sales_Tbl[Date - التاريخ],$A57))</f>
        <v/>
      </c>
      <c r="H57">
        <f>IF($A57&gt;TODAY(),"",SUMIFS(Sales_Tbl[Count - العدد],Sales_Tbl[Status - الحالة],"Accepted - تم التنفيذ",Sales_Tbl[Date - التاريخ],$A57))</f>
        <v/>
      </c>
      <c r="I57">
        <f>IF($A57&gt;TODAY(),"",SUMIFS(Customer_Care_Tbl[Active - نشط],Customer_Care_Tbl[Date - التاريخ],$A57))</f>
        <v/>
      </c>
      <c r="J57">
        <f>IF($A57&gt;TODAY(),"",SUMIFS(Customer_Care_Tbl[Close - مغلق],Customer_Care_Tbl[Date - التاريخ],$A57))</f>
        <v/>
      </c>
    </row>
    <row r="58">
      <c r="A58">
        <f>A57+1</f>
        <v/>
      </c>
      <c r="B58">
        <f>IF($A58&gt;TODAY(),"",IFERROR(INDEX(Credit_KPIs_Tbl[Total Financing Amount],MATCH($A58,Credit_KPIs_Tbl[Date - التاريخ],0)),""))</f>
        <v/>
      </c>
      <c r="C58">
        <f>IF($A58&gt;TODAY(),"",IFERROR(INDEX(Credit_KPIs_Tbl[Today Financing Amount],MATCH($A58,Credit_KPIs_Tbl[Date - التاريخ],0)),""))</f>
        <v/>
      </c>
      <c r="D58">
        <f>IF($A58&gt;TODAY(),"",IFERROR(INDEX(Credit_KPIs_Tbl[Total Number Contracts],MATCH($A58,Credit_KPIs_Tbl[Date - التاريخ],0)),""))</f>
        <v/>
      </c>
      <c r="E58">
        <f>IF($A58&gt;TODAY(),"",IFERROR(INDEX(Credit_KPIs_Tbl[Cancelled],MATCH($A58,Credit_KPIs_Tbl[Date - التاريخ],0)),""))</f>
        <v/>
      </c>
      <c r="F58">
        <f>IF($A58&gt;TODAY(),"",SUMIFS(Collection_Summary_Tbl[Amount - المبلغ],Collection_Summary_Tbl[Item - البند],"الاجمالي",Collection_Summary_Tbl[Date To - الى],$A58))</f>
        <v/>
      </c>
      <c r="G58">
        <f>IF($A58&gt;TODAY(),"",SUMIFS(Sales_Tbl[Count - العدد],Sales_Tbl[Date - التاريخ],$A58))</f>
        <v/>
      </c>
      <c r="H58">
        <f>IF($A58&gt;TODAY(),"",SUMIFS(Sales_Tbl[Count - العدد],Sales_Tbl[Status - الحالة],"Accepted - تم التنفيذ",Sales_Tbl[Date - التاريخ],$A58))</f>
        <v/>
      </c>
      <c r="I58">
        <f>IF($A58&gt;TODAY(),"",SUMIFS(Customer_Care_Tbl[Active - نشط],Customer_Care_Tbl[Date - التاريخ],$A58))</f>
        <v/>
      </c>
      <c r="J58">
        <f>IF($A58&gt;TODAY(),"",SUMIFS(Customer_Care_Tbl[Close - مغلق],Customer_Care_Tbl[Date - التاريخ],$A58))</f>
        <v/>
      </c>
    </row>
    <row r="59">
      <c r="A59">
        <f>A58+1</f>
        <v/>
      </c>
      <c r="B59">
        <f>IF($A59&gt;TODAY(),"",IFERROR(INDEX(Credit_KPIs_Tbl[Total Financing Amount],MATCH($A59,Credit_KPIs_Tbl[Date - التاريخ],0)),""))</f>
        <v/>
      </c>
      <c r="C59">
        <f>IF($A59&gt;TODAY(),"",IFERROR(INDEX(Credit_KPIs_Tbl[Today Financing Amount],MATCH($A59,Credit_KPIs_Tbl[Date - التاريخ],0)),""))</f>
        <v/>
      </c>
      <c r="D59">
        <f>IF($A59&gt;TODAY(),"",IFERROR(INDEX(Credit_KPIs_Tbl[Total Number Contracts],MATCH($A59,Credit_KPIs_Tbl[Date - التاريخ],0)),""))</f>
        <v/>
      </c>
      <c r="E59">
        <f>IF($A59&gt;TODAY(),"",IFERROR(INDEX(Credit_KPIs_Tbl[Cancelled],MATCH($A59,Credit_KPIs_Tbl[Date - التاريخ],0)),""))</f>
        <v/>
      </c>
      <c r="F59">
        <f>IF($A59&gt;TODAY(),"",SUMIFS(Collection_Summary_Tbl[Amount - المبلغ],Collection_Summary_Tbl[Item - البند],"الاجمالي",Collection_Summary_Tbl[Date To - الى],$A59))</f>
        <v/>
      </c>
      <c r="G59">
        <f>IF($A59&gt;TODAY(),"",SUMIFS(Sales_Tbl[Count - العدد],Sales_Tbl[Date - التاريخ],$A59))</f>
        <v/>
      </c>
      <c r="H59">
        <f>IF($A59&gt;TODAY(),"",SUMIFS(Sales_Tbl[Count - العدد],Sales_Tbl[Status - الحالة],"Accepted - تم التنفيذ",Sales_Tbl[Date - التاريخ],$A59))</f>
        <v/>
      </c>
      <c r="I59">
        <f>IF($A59&gt;TODAY(),"",SUMIFS(Customer_Care_Tbl[Active - نشط],Customer_Care_Tbl[Date - التاريخ],$A59))</f>
        <v/>
      </c>
      <c r="J59">
        <f>IF($A59&gt;TODAY(),"",SUMIFS(Customer_Care_Tbl[Close - مغلق],Customer_Care_Tbl[Date - التاريخ],$A59))</f>
        <v/>
      </c>
    </row>
    <row r="60">
      <c r="A60">
        <f>A59+1</f>
        <v/>
      </c>
      <c r="B60">
        <f>IF($A60&gt;TODAY(),"",IFERROR(INDEX(Credit_KPIs_Tbl[Total Financing Amount],MATCH($A60,Credit_KPIs_Tbl[Date - التاريخ],0)),""))</f>
        <v/>
      </c>
      <c r="C60">
        <f>IF($A60&gt;TODAY(),"",IFERROR(INDEX(Credit_KPIs_Tbl[Today Financing Amount],MATCH($A60,Credit_KPIs_Tbl[Date - التاريخ],0)),""))</f>
        <v/>
      </c>
      <c r="D60">
        <f>IF($A60&gt;TODAY(),"",IFERROR(INDEX(Credit_KPIs_Tbl[Total Number Contracts],MATCH($A60,Credit_KPIs_Tbl[Date - التاريخ],0)),""))</f>
        <v/>
      </c>
      <c r="E60">
        <f>IF($A60&gt;TODAY(),"",IFERROR(INDEX(Credit_KPIs_Tbl[Cancelled],MATCH($A60,Credit_KPIs_Tbl[Date - التاريخ],0)),""))</f>
        <v/>
      </c>
      <c r="F60">
        <f>IF($A60&gt;TODAY(),"",SUMIFS(Collection_Summary_Tbl[Amount - المبلغ],Collection_Summary_Tbl[Item - البند],"الاجمالي",Collection_Summary_Tbl[Date To - الى],$A60))</f>
        <v/>
      </c>
      <c r="G60">
        <f>IF($A60&gt;TODAY(),"",SUMIFS(Sales_Tbl[Count - العدد],Sales_Tbl[Date - التاريخ],$A60))</f>
        <v/>
      </c>
      <c r="H60">
        <f>IF($A60&gt;TODAY(),"",SUMIFS(Sales_Tbl[Count - العدد],Sales_Tbl[Status - الحالة],"Accepted - تم التنفيذ",Sales_Tbl[Date - التاريخ],$A60))</f>
        <v/>
      </c>
      <c r="I60">
        <f>IF($A60&gt;TODAY(),"",SUMIFS(Customer_Care_Tbl[Active - نشط],Customer_Care_Tbl[Date - التاريخ],$A60))</f>
        <v/>
      </c>
      <c r="J60">
        <f>IF($A60&gt;TODAY(),"",SUMIFS(Customer_Care_Tbl[Close - مغلق],Customer_Care_Tbl[Date - التاريخ],$A60))</f>
        <v/>
      </c>
    </row>
    <row r="61">
      <c r="A61">
        <f>A60+1</f>
        <v/>
      </c>
      <c r="B61">
        <f>IF($A61&gt;TODAY(),"",IFERROR(INDEX(Credit_KPIs_Tbl[Total Financing Amount],MATCH($A61,Credit_KPIs_Tbl[Date - التاريخ],0)),""))</f>
        <v/>
      </c>
      <c r="C61">
        <f>IF($A61&gt;TODAY(),"",IFERROR(INDEX(Credit_KPIs_Tbl[Today Financing Amount],MATCH($A61,Credit_KPIs_Tbl[Date - التاريخ],0)),""))</f>
        <v/>
      </c>
      <c r="D61">
        <f>IF($A61&gt;TODAY(),"",IFERROR(INDEX(Credit_KPIs_Tbl[Total Number Contracts],MATCH($A61,Credit_KPIs_Tbl[Date - التاريخ],0)),""))</f>
        <v/>
      </c>
      <c r="E61">
        <f>IF($A61&gt;TODAY(),"",IFERROR(INDEX(Credit_KPIs_Tbl[Cancelled],MATCH($A61,Credit_KPIs_Tbl[Date - التاريخ],0)),""))</f>
        <v/>
      </c>
      <c r="F61">
        <f>IF($A61&gt;TODAY(),"",SUMIFS(Collection_Summary_Tbl[Amount - المبلغ],Collection_Summary_Tbl[Item - البند],"الاجمالي",Collection_Summary_Tbl[Date To - الى],$A61))</f>
        <v/>
      </c>
      <c r="G61">
        <f>IF($A61&gt;TODAY(),"",SUMIFS(Sales_Tbl[Count - العدد],Sales_Tbl[Date - التاريخ],$A61))</f>
        <v/>
      </c>
      <c r="H61">
        <f>IF($A61&gt;TODAY(),"",SUMIFS(Sales_Tbl[Count - العدد],Sales_Tbl[Status - الحالة],"Accepted - تم التنفيذ",Sales_Tbl[Date - التاريخ],$A61))</f>
        <v/>
      </c>
      <c r="I61">
        <f>IF($A61&gt;TODAY(),"",SUMIFS(Customer_Care_Tbl[Active - نشط],Customer_Care_Tbl[Date - التاريخ],$A61))</f>
        <v/>
      </c>
      <c r="J61">
        <f>IF($A61&gt;TODAY(),"",SUMIFS(Customer_Care_Tbl[Close - مغلق],Customer_Care_Tbl[Date - التاريخ],$A61))</f>
        <v/>
      </c>
    </row>
    <row r="62">
      <c r="A62">
        <f>A61+1</f>
        <v/>
      </c>
      <c r="B62">
        <f>IF($A62&gt;TODAY(),"",IFERROR(INDEX(Credit_KPIs_Tbl[Total Financing Amount],MATCH($A62,Credit_KPIs_Tbl[Date - التاريخ],0)),""))</f>
        <v/>
      </c>
      <c r="C62">
        <f>IF($A62&gt;TODAY(),"",IFERROR(INDEX(Credit_KPIs_Tbl[Today Financing Amount],MATCH($A62,Credit_KPIs_Tbl[Date - التاريخ],0)),""))</f>
        <v/>
      </c>
      <c r="D62">
        <f>IF($A62&gt;TODAY(),"",IFERROR(INDEX(Credit_KPIs_Tbl[Total Number Contracts],MATCH($A62,Credit_KPIs_Tbl[Date - التاريخ],0)),""))</f>
        <v/>
      </c>
      <c r="E62">
        <f>IF($A62&gt;TODAY(),"",IFERROR(INDEX(Credit_KPIs_Tbl[Cancelled],MATCH($A62,Credit_KPIs_Tbl[Date - التاريخ],0)),""))</f>
        <v/>
      </c>
      <c r="F62">
        <f>IF($A62&gt;TODAY(),"",SUMIFS(Collection_Summary_Tbl[Amount - المبلغ],Collection_Summary_Tbl[Item - البند],"الاجمالي",Collection_Summary_Tbl[Date To - الى],$A62))</f>
        <v/>
      </c>
      <c r="G62">
        <f>IF($A62&gt;TODAY(),"",SUMIFS(Sales_Tbl[Count - العدد],Sales_Tbl[Date - التاريخ],$A62))</f>
        <v/>
      </c>
      <c r="H62">
        <f>IF($A62&gt;TODAY(),"",SUMIFS(Sales_Tbl[Count - العدد],Sales_Tbl[Status - الحالة],"Accepted - تم التنفيذ",Sales_Tbl[Date - التاريخ],$A62))</f>
        <v/>
      </c>
      <c r="I62">
        <f>IF($A62&gt;TODAY(),"",SUMIFS(Customer_Care_Tbl[Active - نشط],Customer_Care_Tbl[Date - التاريخ],$A62))</f>
        <v/>
      </c>
      <c r="J62">
        <f>IF($A62&gt;TODAY(),"",SUMIFS(Customer_Care_Tbl[Close - مغلق],Customer_Care_Tbl[Date - التاريخ],$A62))</f>
        <v/>
      </c>
    </row>
    <row r="63">
      <c r="A63">
        <f>A62+1</f>
        <v/>
      </c>
      <c r="B63">
        <f>IF($A63&gt;TODAY(),"",IFERROR(INDEX(Credit_KPIs_Tbl[Total Financing Amount],MATCH($A63,Credit_KPIs_Tbl[Date - التاريخ],0)),""))</f>
        <v/>
      </c>
      <c r="C63">
        <f>IF($A63&gt;TODAY(),"",IFERROR(INDEX(Credit_KPIs_Tbl[Today Financing Amount],MATCH($A63,Credit_KPIs_Tbl[Date - التاريخ],0)),""))</f>
        <v/>
      </c>
      <c r="D63">
        <f>IF($A63&gt;TODAY(),"",IFERROR(INDEX(Credit_KPIs_Tbl[Total Number Contracts],MATCH($A63,Credit_KPIs_Tbl[Date - التاريخ],0)),""))</f>
        <v/>
      </c>
      <c r="E63">
        <f>IF($A63&gt;TODAY(),"",IFERROR(INDEX(Credit_KPIs_Tbl[Cancelled],MATCH($A63,Credit_KPIs_Tbl[Date - التاريخ],0)),""))</f>
        <v/>
      </c>
      <c r="F63">
        <f>IF($A63&gt;TODAY(),"",SUMIFS(Collection_Summary_Tbl[Amount - المبلغ],Collection_Summary_Tbl[Item - البند],"الاجمالي",Collection_Summary_Tbl[Date To - الى],$A63))</f>
        <v/>
      </c>
      <c r="G63">
        <f>IF($A63&gt;TODAY(),"",SUMIFS(Sales_Tbl[Count - العدد],Sales_Tbl[Date - التاريخ],$A63))</f>
        <v/>
      </c>
      <c r="H63">
        <f>IF($A63&gt;TODAY(),"",SUMIFS(Sales_Tbl[Count - العدد],Sales_Tbl[Status - الحالة],"Accepted - تم التنفيذ",Sales_Tbl[Date - التاريخ],$A63))</f>
        <v/>
      </c>
      <c r="I63">
        <f>IF($A63&gt;TODAY(),"",SUMIFS(Customer_Care_Tbl[Active - نشط],Customer_Care_Tbl[Date - التاريخ],$A63))</f>
        <v/>
      </c>
      <c r="J63">
        <f>IF($A63&gt;TODAY(),"",SUMIFS(Customer_Care_Tbl[Close - مغلق],Customer_Care_Tbl[Date - التاريخ],$A63))</f>
        <v/>
      </c>
    </row>
    <row r="64">
      <c r="A64">
        <f>A63+1</f>
        <v/>
      </c>
      <c r="B64">
        <f>IF($A64&gt;TODAY(),"",IFERROR(INDEX(Credit_KPIs_Tbl[Total Financing Amount],MATCH($A64,Credit_KPIs_Tbl[Date - التاريخ],0)),""))</f>
        <v/>
      </c>
      <c r="C64">
        <f>IF($A64&gt;TODAY(),"",IFERROR(INDEX(Credit_KPIs_Tbl[Today Financing Amount],MATCH($A64,Credit_KPIs_Tbl[Date - التاريخ],0)),""))</f>
        <v/>
      </c>
      <c r="D64">
        <f>IF($A64&gt;TODAY(),"",IFERROR(INDEX(Credit_KPIs_Tbl[Total Number Contracts],MATCH($A64,Credit_KPIs_Tbl[Date - التاريخ],0)),""))</f>
        <v/>
      </c>
      <c r="E64">
        <f>IF($A64&gt;TODAY(),"",IFERROR(INDEX(Credit_KPIs_Tbl[Cancelled],MATCH($A64,Credit_KPIs_Tbl[Date - التاريخ],0)),""))</f>
        <v/>
      </c>
      <c r="F64">
        <f>IF($A64&gt;TODAY(),"",SUMIFS(Collection_Summary_Tbl[Amount - المبلغ],Collection_Summary_Tbl[Item - البند],"الاجمالي",Collection_Summary_Tbl[Date To - الى],$A64))</f>
        <v/>
      </c>
      <c r="G64">
        <f>IF($A64&gt;TODAY(),"",SUMIFS(Sales_Tbl[Count - العدد],Sales_Tbl[Date - التاريخ],$A64))</f>
        <v/>
      </c>
      <c r="H64">
        <f>IF($A64&gt;TODAY(),"",SUMIFS(Sales_Tbl[Count - العدد],Sales_Tbl[Status - الحالة],"Accepted - تم التنفيذ",Sales_Tbl[Date - التاريخ],$A64))</f>
        <v/>
      </c>
      <c r="I64">
        <f>IF($A64&gt;TODAY(),"",SUMIFS(Customer_Care_Tbl[Active - نشط],Customer_Care_Tbl[Date - التاريخ],$A64))</f>
        <v/>
      </c>
      <c r="J64">
        <f>IF($A64&gt;TODAY(),"",SUMIFS(Customer_Care_Tbl[Close - مغلق],Customer_Care_Tbl[Date - التاريخ],$A64))</f>
        <v/>
      </c>
    </row>
    <row r="65">
      <c r="A65">
        <f>A64+1</f>
        <v/>
      </c>
      <c r="B65">
        <f>IF($A65&gt;TODAY(),"",IFERROR(INDEX(Credit_KPIs_Tbl[Total Financing Amount],MATCH($A65,Credit_KPIs_Tbl[Date - التاريخ],0)),""))</f>
        <v/>
      </c>
      <c r="C65">
        <f>IF($A65&gt;TODAY(),"",IFERROR(INDEX(Credit_KPIs_Tbl[Today Financing Amount],MATCH($A65,Credit_KPIs_Tbl[Date - التاريخ],0)),""))</f>
        <v/>
      </c>
      <c r="D65">
        <f>IF($A65&gt;TODAY(),"",IFERROR(INDEX(Credit_KPIs_Tbl[Total Number Contracts],MATCH($A65,Credit_KPIs_Tbl[Date - التاريخ],0)),""))</f>
        <v/>
      </c>
      <c r="E65">
        <f>IF($A65&gt;TODAY(),"",IFERROR(INDEX(Credit_KPIs_Tbl[Cancelled],MATCH($A65,Credit_KPIs_Tbl[Date - التاريخ],0)),""))</f>
        <v/>
      </c>
      <c r="F65">
        <f>IF($A65&gt;TODAY(),"",SUMIFS(Collection_Summary_Tbl[Amount - المبلغ],Collection_Summary_Tbl[Item - البند],"الاجمالي",Collection_Summary_Tbl[Date To - الى],$A65))</f>
        <v/>
      </c>
      <c r="G65">
        <f>IF($A65&gt;TODAY(),"",SUMIFS(Sales_Tbl[Count - العدد],Sales_Tbl[Date - التاريخ],$A65))</f>
        <v/>
      </c>
      <c r="H65">
        <f>IF($A65&gt;TODAY(),"",SUMIFS(Sales_Tbl[Count - العدد],Sales_Tbl[Status - الحالة],"Accepted - تم التنفيذ",Sales_Tbl[Date - التاريخ],$A65))</f>
        <v/>
      </c>
      <c r="I65">
        <f>IF($A65&gt;TODAY(),"",SUMIFS(Customer_Care_Tbl[Active - نشط],Customer_Care_Tbl[Date - التاريخ],$A65))</f>
        <v/>
      </c>
      <c r="J65">
        <f>IF($A65&gt;TODAY(),"",SUMIFS(Customer_Care_Tbl[Close - مغلق],Customer_Care_Tbl[Date - التاريخ],$A65))</f>
        <v/>
      </c>
    </row>
    <row r="66">
      <c r="A66">
        <f>A65+1</f>
        <v/>
      </c>
      <c r="B66">
        <f>IF($A66&gt;TODAY(),"",IFERROR(INDEX(Credit_KPIs_Tbl[Total Financing Amount],MATCH($A66,Credit_KPIs_Tbl[Date - التاريخ],0)),""))</f>
        <v/>
      </c>
      <c r="C66">
        <f>IF($A66&gt;TODAY(),"",IFERROR(INDEX(Credit_KPIs_Tbl[Today Financing Amount],MATCH($A66,Credit_KPIs_Tbl[Date - التاريخ],0)),""))</f>
        <v/>
      </c>
      <c r="D66">
        <f>IF($A66&gt;TODAY(),"",IFERROR(INDEX(Credit_KPIs_Tbl[Total Number Contracts],MATCH($A66,Credit_KPIs_Tbl[Date - التاريخ],0)),""))</f>
        <v/>
      </c>
      <c r="E66">
        <f>IF($A66&gt;TODAY(),"",IFERROR(INDEX(Credit_KPIs_Tbl[Cancelled],MATCH($A66,Credit_KPIs_Tbl[Date - التاريخ],0)),""))</f>
        <v/>
      </c>
      <c r="F66">
        <f>IF($A66&gt;TODAY(),"",SUMIFS(Collection_Summary_Tbl[Amount - المبلغ],Collection_Summary_Tbl[Item - البند],"الاجمالي",Collection_Summary_Tbl[Date To - الى],$A66))</f>
        <v/>
      </c>
      <c r="G66">
        <f>IF($A66&gt;TODAY(),"",SUMIFS(Sales_Tbl[Count - العدد],Sales_Tbl[Date - التاريخ],$A66))</f>
        <v/>
      </c>
      <c r="H66">
        <f>IF($A66&gt;TODAY(),"",SUMIFS(Sales_Tbl[Count - العدد],Sales_Tbl[Status - الحالة],"Accepted - تم التنفيذ",Sales_Tbl[Date - التاريخ],$A66))</f>
        <v/>
      </c>
      <c r="I66">
        <f>IF($A66&gt;TODAY(),"",SUMIFS(Customer_Care_Tbl[Active - نشط],Customer_Care_Tbl[Date - التاريخ],$A66))</f>
        <v/>
      </c>
      <c r="J66">
        <f>IF($A66&gt;TODAY(),"",SUMIFS(Customer_Care_Tbl[Close - مغلق],Customer_Care_Tbl[Date - التاريخ],$A66))</f>
        <v/>
      </c>
    </row>
    <row r="67">
      <c r="A67">
        <f>A66+1</f>
        <v/>
      </c>
      <c r="B67">
        <f>IF($A67&gt;TODAY(),"",IFERROR(INDEX(Credit_KPIs_Tbl[Total Financing Amount],MATCH($A67,Credit_KPIs_Tbl[Date - التاريخ],0)),""))</f>
        <v/>
      </c>
      <c r="C67">
        <f>IF($A67&gt;TODAY(),"",IFERROR(INDEX(Credit_KPIs_Tbl[Today Financing Amount],MATCH($A67,Credit_KPIs_Tbl[Date - التاريخ],0)),""))</f>
        <v/>
      </c>
      <c r="D67">
        <f>IF($A67&gt;TODAY(),"",IFERROR(INDEX(Credit_KPIs_Tbl[Total Number Contracts],MATCH($A67,Credit_KPIs_Tbl[Date - التاريخ],0)),""))</f>
        <v/>
      </c>
      <c r="E67">
        <f>IF($A67&gt;TODAY(),"",IFERROR(INDEX(Credit_KPIs_Tbl[Cancelled],MATCH($A67,Credit_KPIs_Tbl[Date - التاريخ],0)),""))</f>
        <v/>
      </c>
      <c r="F67">
        <f>IF($A67&gt;TODAY(),"",SUMIFS(Collection_Summary_Tbl[Amount - المبلغ],Collection_Summary_Tbl[Item - البند],"الاجمالي",Collection_Summary_Tbl[Date To - الى],$A67))</f>
        <v/>
      </c>
      <c r="G67">
        <f>IF($A67&gt;TODAY(),"",SUMIFS(Sales_Tbl[Count - العدد],Sales_Tbl[Date - التاريخ],$A67))</f>
        <v/>
      </c>
      <c r="H67">
        <f>IF($A67&gt;TODAY(),"",SUMIFS(Sales_Tbl[Count - العدد],Sales_Tbl[Status - الحالة],"Accepted - تم التنفيذ",Sales_Tbl[Date - التاريخ],$A67))</f>
        <v/>
      </c>
      <c r="I67">
        <f>IF($A67&gt;TODAY(),"",SUMIFS(Customer_Care_Tbl[Active - نشط],Customer_Care_Tbl[Date - التاريخ],$A67))</f>
        <v/>
      </c>
      <c r="J67">
        <f>IF($A67&gt;TODAY(),"",SUMIFS(Customer_Care_Tbl[Close - مغلق],Customer_Care_Tbl[Date - التاريخ],$A67))</f>
        <v/>
      </c>
    </row>
    <row r="68">
      <c r="A68">
        <f>A67+1</f>
        <v/>
      </c>
      <c r="B68">
        <f>IF($A68&gt;TODAY(),"",IFERROR(INDEX(Credit_KPIs_Tbl[Total Financing Amount],MATCH($A68,Credit_KPIs_Tbl[Date - التاريخ],0)),""))</f>
        <v/>
      </c>
      <c r="C68">
        <f>IF($A68&gt;TODAY(),"",IFERROR(INDEX(Credit_KPIs_Tbl[Today Financing Amount],MATCH($A68,Credit_KPIs_Tbl[Date - التاريخ],0)),""))</f>
        <v/>
      </c>
      <c r="D68">
        <f>IF($A68&gt;TODAY(),"",IFERROR(INDEX(Credit_KPIs_Tbl[Total Number Contracts],MATCH($A68,Credit_KPIs_Tbl[Date - التاريخ],0)),""))</f>
        <v/>
      </c>
      <c r="E68">
        <f>IF($A68&gt;TODAY(),"",IFERROR(INDEX(Credit_KPIs_Tbl[Cancelled],MATCH($A68,Credit_KPIs_Tbl[Date - التاريخ],0)),""))</f>
        <v/>
      </c>
      <c r="F68">
        <f>IF($A68&gt;TODAY(),"",SUMIFS(Collection_Summary_Tbl[Amount - المبلغ],Collection_Summary_Tbl[Item - البند],"الاجمالي",Collection_Summary_Tbl[Date To - الى],$A68))</f>
        <v/>
      </c>
      <c r="G68">
        <f>IF($A68&gt;TODAY(),"",SUMIFS(Sales_Tbl[Count - العدد],Sales_Tbl[Date - التاريخ],$A68))</f>
        <v/>
      </c>
      <c r="H68">
        <f>IF($A68&gt;TODAY(),"",SUMIFS(Sales_Tbl[Count - العدد],Sales_Tbl[Status - الحالة],"Accepted - تم التنفيذ",Sales_Tbl[Date - التاريخ],$A68))</f>
        <v/>
      </c>
      <c r="I68">
        <f>IF($A68&gt;TODAY(),"",SUMIFS(Customer_Care_Tbl[Active - نشط],Customer_Care_Tbl[Date - التاريخ],$A68))</f>
        <v/>
      </c>
      <c r="J68">
        <f>IF($A68&gt;TODAY(),"",SUMIFS(Customer_Care_Tbl[Close - مغلق],Customer_Care_Tbl[Date - التاريخ],$A68))</f>
        <v/>
      </c>
    </row>
    <row r="69">
      <c r="A69">
        <f>A68+1</f>
        <v/>
      </c>
      <c r="B69">
        <f>IF($A69&gt;TODAY(),"",IFERROR(INDEX(Credit_KPIs_Tbl[Total Financing Amount],MATCH($A69,Credit_KPIs_Tbl[Date - التاريخ],0)),""))</f>
        <v/>
      </c>
      <c r="C69">
        <f>IF($A69&gt;TODAY(),"",IFERROR(INDEX(Credit_KPIs_Tbl[Today Financing Amount],MATCH($A69,Credit_KPIs_Tbl[Date - التاريخ],0)),""))</f>
        <v/>
      </c>
      <c r="D69">
        <f>IF($A69&gt;TODAY(),"",IFERROR(INDEX(Credit_KPIs_Tbl[Total Number Contracts],MATCH($A69,Credit_KPIs_Tbl[Date - التاريخ],0)),""))</f>
        <v/>
      </c>
      <c r="E69">
        <f>IF($A69&gt;TODAY(),"",IFERROR(INDEX(Credit_KPIs_Tbl[Cancelled],MATCH($A69,Credit_KPIs_Tbl[Date - التاريخ],0)),""))</f>
        <v/>
      </c>
      <c r="F69">
        <f>IF($A69&gt;TODAY(),"",SUMIFS(Collection_Summary_Tbl[Amount - المبلغ],Collection_Summary_Tbl[Item - البند],"الاجمالي",Collection_Summary_Tbl[Date To - الى],$A69))</f>
        <v/>
      </c>
      <c r="G69">
        <f>IF($A69&gt;TODAY(),"",SUMIFS(Sales_Tbl[Count - العدد],Sales_Tbl[Date - التاريخ],$A69))</f>
        <v/>
      </c>
      <c r="H69">
        <f>IF($A69&gt;TODAY(),"",SUMIFS(Sales_Tbl[Count - العدد],Sales_Tbl[Status - الحالة],"Accepted - تم التنفيذ",Sales_Tbl[Date - التاريخ],$A69))</f>
        <v/>
      </c>
      <c r="I69">
        <f>IF($A69&gt;TODAY(),"",SUMIFS(Customer_Care_Tbl[Active - نشط],Customer_Care_Tbl[Date - التاريخ],$A69))</f>
        <v/>
      </c>
      <c r="J69">
        <f>IF($A69&gt;TODAY(),"",SUMIFS(Customer_Care_Tbl[Close - مغلق],Customer_Care_Tbl[Date - التاريخ],$A69))</f>
        <v/>
      </c>
    </row>
    <row r="70">
      <c r="A70">
        <f>A69+1</f>
        <v/>
      </c>
      <c r="B70">
        <f>IF($A70&gt;TODAY(),"",IFERROR(INDEX(Credit_KPIs_Tbl[Total Financing Amount],MATCH($A70,Credit_KPIs_Tbl[Date - التاريخ],0)),""))</f>
        <v/>
      </c>
      <c r="C70">
        <f>IF($A70&gt;TODAY(),"",IFERROR(INDEX(Credit_KPIs_Tbl[Today Financing Amount],MATCH($A70,Credit_KPIs_Tbl[Date - التاريخ],0)),""))</f>
        <v/>
      </c>
      <c r="D70">
        <f>IF($A70&gt;TODAY(),"",IFERROR(INDEX(Credit_KPIs_Tbl[Total Number Contracts],MATCH($A70,Credit_KPIs_Tbl[Date - التاريخ],0)),""))</f>
        <v/>
      </c>
      <c r="E70">
        <f>IF($A70&gt;TODAY(),"",IFERROR(INDEX(Credit_KPIs_Tbl[Cancelled],MATCH($A70,Credit_KPIs_Tbl[Date - التاريخ],0)),""))</f>
        <v/>
      </c>
      <c r="F70">
        <f>IF($A70&gt;TODAY(),"",SUMIFS(Collection_Summary_Tbl[Amount - المبلغ],Collection_Summary_Tbl[Item - البند],"الاجمالي",Collection_Summary_Tbl[Date To - الى],$A70))</f>
        <v/>
      </c>
      <c r="G70">
        <f>IF($A70&gt;TODAY(),"",SUMIFS(Sales_Tbl[Count - العدد],Sales_Tbl[Date - التاريخ],$A70))</f>
        <v/>
      </c>
      <c r="H70">
        <f>IF($A70&gt;TODAY(),"",SUMIFS(Sales_Tbl[Count - العدد],Sales_Tbl[Status - الحالة],"Accepted - تم التنفيذ",Sales_Tbl[Date - التاريخ],$A70))</f>
        <v/>
      </c>
      <c r="I70">
        <f>IF($A70&gt;TODAY(),"",SUMIFS(Customer_Care_Tbl[Active - نشط],Customer_Care_Tbl[Date - التاريخ],$A70))</f>
        <v/>
      </c>
      <c r="J70">
        <f>IF($A70&gt;TODAY(),"",SUMIFS(Customer_Care_Tbl[Close - مغلق],Customer_Care_Tbl[Date - التاريخ],$A70))</f>
        <v/>
      </c>
    </row>
    <row r="71">
      <c r="A71">
        <f>A70+1</f>
        <v/>
      </c>
      <c r="B71">
        <f>IF($A71&gt;TODAY(),"",IFERROR(INDEX(Credit_KPIs_Tbl[Total Financing Amount],MATCH($A71,Credit_KPIs_Tbl[Date - التاريخ],0)),""))</f>
        <v/>
      </c>
      <c r="C71">
        <f>IF($A71&gt;TODAY(),"",IFERROR(INDEX(Credit_KPIs_Tbl[Today Financing Amount],MATCH($A71,Credit_KPIs_Tbl[Date - التاريخ],0)),""))</f>
        <v/>
      </c>
      <c r="D71">
        <f>IF($A71&gt;TODAY(),"",IFERROR(INDEX(Credit_KPIs_Tbl[Total Number Contracts],MATCH($A71,Credit_KPIs_Tbl[Date - التاريخ],0)),""))</f>
        <v/>
      </c>
      <c r="E71">
        <f>IF($A71&gt;TODAY(),"",IFERROR(INDEX(Credit_KPIs_Tbl[Cancelled],MATCH($A71,Credit_KPIs_Tbl[Date - التاريخ],0)),""))</f>
        <v/>
      </c>
      <c r="F71">
        <f>IF($A71&gt;TODAY(),"",SUMIFS(Collection_Summary_Tbl[Amount - المبلغ],Collection_Summary_Tbl[Item - البند],"الاجمالي",Collection_Summary_Tbl[Date To - الى],$A71))</f>
        <v/>
      </c>
      <c r="G71">
        <f>IF($A71&gt;TODAY(),"",SUMIFS(Sales_Tbl[Count - العدد],Sales_Tbl[Date - التاريخ],$A71))</f>
        <v/>
      </c>
      <c r="H71">
        <f>IF($A71&gt;TODAY(),"",SUMIFS(Sales_Tbl[Count - العدد],Sales_Tbl[Status - الحالة],"Accepted - تم التنفيذ",Sales_Tbl[Date - التاريخ],$A71))</f>
        <v/>
      </c>
      <c r="I71">
        <f>IF($A71&gt;TODAY(),"",SUMIFS(Customer_Care_Tbl[Active - نشط],Customer_Care_Tbl[Date - التاريخ],$A71))</f>
        <v/>
      </c>
      <c r="J71">
        <f>IF($A71&gt;TODAY(),"",SUMIFS(Customer_Care_Tbl[Close - مغلق],Customer_Care_Tbl[Date - التاريخ],$A71))</f>
        <v/>
      </c>
    </row>
    <row r="72">
      <c r="A72">
        <f>A71+1</f>
        <v/>
      </c>
      <c r="B72">
        <f>IF($A72&gt;TODAY(),"",IFERROR(INDEX(Credit_KPIs_Tbl[Total Financing Amount],MATCH($A72,Credit_KPIs_Tbl[Date - التاريخ],0)),""))</f>
        <v/>
      </c>
      <c r="C72">
        <f>IF($A72&gt;TODAY(),"",IFERROR(INDEX(Credit_KPIs_Tbl[Today Financing Amount],MATCH($A72,Credit_KPIs_Tbl[Date - التاريخ],0)),""))</f>
        <v/>
      </c>
      <c r="D72">
        <f>IF($A72&gt;TODAY(),"",IFERROR(INDEX(Credit_KPIs_Tbl[Total Number Contracts],MATCH($A72,Credit_KPIs_Tbl[Date - التاريخ],0)),""))</f>
        <v/>
      </c>
      <c r="E72">
        <f>IF($A72&gt;TODAY(),"",IFERROR(INDEX(Credit_KPIs_Tbl[Cancelled],MATCH($A72,Credit_KPIs_Tbl[Date - التاريخ],0)),""))</f>
        <v/>
      </c>
      <c r="F72">
        <f>IF($A72&gt;TODAY(),"",SUMIFS(Collection_Summary_Tbl[Amount - المبلغ],Collection_Summary_Tbl[Item - البند],"الاجمالي",Collection_Summary_Tbl[Date To - الى],$A72))</f>
        <v/>
      </c>
      <c r="G72">
        <f>IF($A72&gt;TODAY(),"",SUMIFS(Sales_Tbl[Count - العدد],Sales_Tbl[Date - التاريخ],$A72))</f>
        <v/>
      </c>
      <c r="H72">
        <f>IF($A72&gt;TODAY(),"",SUMIFS(Sales_Tbl[Count - العدد],Sales_Tbl[Status - الحالة],"Accepted - تم التنفيذ",Sales_Tbl[Date - التاريخ],$A72))</f>
        <v/>
      </c>
      <c r="I72">
        <f>IF($A72&gt;TODAY(),"",SUMIFS(Customer_Care_Tbl[Active - نشط],Customer_Care_Tbl[Date - التاريخ],$A72))</f>
        <v/>
      </c>
      <c r="J72">
        <f>IF($A72&gt;TODAY(),"",SUMIFS(Customer_Care_Tbl[Close - مغلق],Customer_Care_Tbl[Date - التاريخ],$A72))</f>
        <v/>
      </c>
    </row>
    <row r="73">
      <c r="A73">
        <f>A72+1</f>
        <v/>
      </c>
      <c r="B73">
        <f>IF($A73&gt;TODAY(),"",IFERROR(INDEX(Credit_KPIs_Tbl[Total Financing Amount],MATCH($A73,Credit_KPIs_Tbl[Date - التاريخ],0)),""))</f>
        <v/>
      </c>
      <c r="C73">
        <f>IF($A73&gt;TODAY(),"",IFERROR(INDEX(Credit_KPIs_Tbl[Today Financing Amount],MATCH($A73,Credit_KPIs_Tbl[Date - التاريخ],0)),""))</f>
        <v/>
      </c>
      <c r="D73">
        <f>IF($A73&gt;TODAY(),"",IFERROR(INDEX(Credit_KPIs_Tbl[Total Number Contracts],MATCH($A73,Credit_KPIs_Tbl[Date - التاريخ],0)),""))</f>
        <v/>
      </c>
      <c r="E73">
        <f>IF($A73&gt;TODAY(),"",IFERROR(INDEX(Credit_KPIs_Tbl[Cancelled],MATCH($A73,Credit_KPIs_Tbl[Date - التاريخ],0)),""))</f>
        <v/>
      </c>
      <c r="F73">
        <f>IF($A73&gt;TODAY(),"",SUMIFS(Collection_Summary_Tbl[Amount - المبلغ],Collection_Summary_Tbl[Item - البند],"الاجمالي",Collection_Summary_Tbl[Date To - الى],$A73))</f>
        <v/>
      </c>
      <c r="G73">
        <f>IF($A73&gt;TODAY(),"",SUMIFS(Sales_Tbl[Count - العدد],Sales_Tbl[Date - التاريخ],$A73))</f>
        <v/>
      </c>
      <c r="H73">
        <f>IF($A73&gt;TODAY(),"",SUMIFS(Sales_Tbl[Count - العدد],Sales_Tbl[Status - الحالة],"Accepted - تم التنفيذ",Sales_Tbl[Date - التاريخ],$A73))</f>
        <v/>
      </c>
      <c r="I73">
        <f>IF($A73&gt;TODAY(),"",SUMIFS(Customer_Care_Tbl[Active - نشط],Customer_Care_Tbl[Date - التاريخ],$A73))</f>
        <v/>
      </c>
      <c r="J73">
        <f>IF($A73&gt;TODAY(),"",SUMIFS(Customer_Care_Tbl[Close - مغلق],Customer_Care_Tbl[Date - التاريخ],$A73))</f>
        <v/>
      </c>
    </row>
    <row r="74">
      <c r="A74">
        <f>A73+1</f>
        <v/>
      </c>
      <c r="B74">
        <f>IF($A74&gt;TODAY(),"",IFERROR(INDEX(Credit_KPIs_Tbl[Total Financing Amount],MATCH($A74,Credit_KPIs_Tbl[Date - التاريخ],0)),""))</f>
        <v/>
      </c>
      <c r="C74">
        <f>IF($A74&gt;TODAY(),"",IFERROR(INDEX(Credit_KPIs_Tbl[Today Financing Amount],MATCH($A74,Credit_KPIs_Tbl[Date - التاريخ],0)),""))</f>
        <v/>
      </c>
      <c r="D74">
        <f>IF($A74&gt;TODAY(),"",IFERROR(INDEX(Credit_KPIs_Tbl[Total Number Contracts],MATCH($A74,Credit_KPIs_Tbl[Date - التاريخ],0)),""))</f>
        <v/>
      </c>
      <c r="E74">
        <f>IF($A74&gt;TODAY(),"",IFERROR(INDEX(Credit_KPIs_Tbl[Cancelled],MATCH($A74,Credit_KPIs_Tbl[Date - التاريخ],0)),""))</f>
        <v/>
      </c>
      <c r="F74">
        <f>IF($A74&gt;TODAY(),"",SUMIFS(Collection_Summary_Tbl[Amount - المبلغ],Collection_Summary_Tbl[Item - البند],"الاجمالي",Collection_Summary_Tbl[Date To - الى],$A74))</f>
        <v/>
      </c>
      <c r="G74">
        <f>IF($A74&gt;TODAY(),"",SUMIFS(Sales_Tbl[Count - العدد],Sales_Tbl[Date - التاريخ],$A74))</f>
        <v/>
      </c>
      <c r="H74">
        <f>IF($A74&gt;TODAY(),"",SUMIFS(Sales_Tbl[Count - العدد],Sales_Tbl[Status - الحالة],"Accepted - تم التنفيذ",Sales_Tbl[Date - التاريخ],$A74))</f>
        <v/>
      </c>
      <c r="I74">
        <f>IF($A74&gt;TODAY(),"",SUMIFS(Customer_Care_Tbl[Active - نشط],Customer_Care_Tbl[Date - التاريخ],$A74))</f>
        <v/>
      </c>
      <c r="J74">
        <f>IF($A74&gt;TODAY(),"",SUMIFS(Customer_Care_Tbl[Close - مغلق],Customer_Care_Tbl[Date - التاريخ],$A74))</f>
        <v/>
      </c>
    </row>
    <row r="75">
      <c r="A75">
        <f>A74+1</f>
        <v/>
      </c>
      <c r="B75">
        <f>IF($A75&gt;TODAY(),"",IFERROR(INDEX(Credit_KPIs_Tbl[Total Financing Amount],MATCH($A75,Credit_KPIs_Tbl[Date - التاريخ],0)),""))</f>
        <v/>
      </c>
      <c r="C75">
        <f>IF($A75&gt;TODAY(),"",IFERROR(INDEX(Credit_KPIs_Tbl[Today Financing Amount],MATCH($A75,Credit_KPIs_Tbl[Date - التاريخ],0)),""))</f>
        <v/>
      </c>
      <c r="D75">
        <f>IF($A75&gt;TODAY(),"",IFERROR(INDEX(Credit_KPIs_Tbl[Total Number Contracts],MATCH($A75,Credit_KPIs_Tbl[Date - التاريخ],0)),""))</f>
        <v/>
      </c>
      <c r="E75">
        <f>IF($A75&gt;TODAY(),"",IFERROR(INDEX(Credit_KPIs_Tbl[Cancelled],MATCH($A75,Credit_KPIs_Tbl[Date - التاريخ],0)),""))</f>
        <v/>
      </c>
      <c r="F75">
        <f>IF($A75&gt;TODAY(),"",SUMIFS(Collection_Summary_Tbl[Amount - المبلغ],Collection_Summary_Tbl[Item - البند],"الاجمالي",Collection_Summary_Tbl[Date To - الى],$A75))</f>
        <v/>
      </c>
      <c r="G75">
        <f>IF($A75&gt;TODAY(),"",SUMIFS(Sales_Tbl[Count - العدد],Sales_Tbl[Date - التاريخ],$A75))</f>
        <v/>
      </c>
      <c r="H75">
        <f>IF($A75&gt;TODAY(),"",SUMIFS(Sales_Tbl[Count - العدد],Sales_Tbl[Status - الحالة],"Accepted - تم التنفيذ",Sales_Tbl[Date - التاريخ],$A75))</f>
        <v/>
      </c>
      <c r="I75">
        <f>IF($A75&gt;TODAY(),"",SUMIFS(Customer_Care_Tbl[Active - نشط],Customer_Care_Tbl[Date - التاريخ],$A75))</f>
        <v/>
      </c>
      <c r="J75">
        <f>IF($A75&gt;TODAY(),"",SUMIFS(Customer_Care_Tbl[Close - مغلق],Customer_Care_Tbl[Date - التاريخ],$A75))</f>
        <v/>
      </c>
    </row>
    <row r="76">
      <c r="A76">
        <f>A75+1</f>
        <v/>
      </c>
      <c r="B76">
        <f>IF($A76&gt;TODAY(),"",IFERROR(INDEX(Credit_KPIs_Tbl[Total Financing Amount],MATCH($A76,Credit_KPIs_Tbl[Date - التاريخ],0)),""))</f>
        <v/>
      </c>
      <c r="C76">
        <f>IF($A76&gt;TODAY(),"",IFERROR(INDEX(Credit_KPIs_Tbl[Today Financing Amount],MATCH($A76,Credit_KPIs_Tbl[Date - التاريخ],0)),""))</f>
        <v/>
      </c>
      <c r="D76">
        <f>IF($A76&gt;TODAY(),"",IFERROR(INDEX(Credit_KPIs_Tbl[Total Number Contracts],MATCH($A76,Credit_KPIs_Tbl[Date - التاريخ],0)),""))</f>
        <v/>
      </c>
      <c r="E76">
        <f>IF($A76&gt;TODAY(),"",IFERROR(INDEX(Credit_KPIs_Tbl[Cancelled],MATCH($A76,Credit_KPIs_Tbl[Date - التاريخ],0)),""))</f>
        <v/>
      </c>
      <c r="F76">
        <f>IF($A76&gt;TODAY(),"",SUMIFS(Collection_Summary_Tbl[Amount - المبلغ],Collection_Summary_Tbl[Item - البند],"الاجمالي",Collection_Summary_Tbl[Date To - الى],$A76))</f>
        <v/>
      </c>
      <c r="G76">
        <f>IF($A76&gt;TODAY(),"",SUMIFS(Sales_Tbl[Count - العدد],Sales_Tbl[Date - التاريخ],$A76))</f>
        <v/>
      </c>
      <c r="H76">
        <f>IF($A76&gt;TODAY(),"",SUMIFS(Sales_Tbl[Count - العدد],Sales_Tbl[Status - الحالة],"Accepted - تم التنفيذ",Sales_Tbl[Date - التاريخ],$A76))</f>
        <v/>
      </c>
      <c r="I76">
        <f>IF($A76&gt;TODAY(),"",SUMIFS(Customer_Care_Tbl[Active - نشط],Customer_Care_Tbl[Date - التاريخ],$A76))</f>
        <v/>
      </c>
      <c r="J76">
        <f>IF($A76&gt;TODAY(),"",SUMIFS(Customer_Care_Tbl[Close - مغلق],Customer_Care_Tbl[Date - التاريخ],$A76))</f>
        <v/>
      </c>
    </row>
    <row r="77">
      <c r="A77">
        <f>A76+1</f>
        <v/>
      </c>
      <c r="B77">
        <f>IF($A77&gt;TODAY(),"",IFERROR(INDEX(Credit_KPIs_Tbl[Total Financing Amount],MATCH($A77,Credit_KPIs_Tbl[Date - التاريخ],0)),""))</f>
        <v/>
      </c>
      <c r="C77">
        <f>IF($A77&gt;TODAY(),"",IFERROR(INDEX(Credit_KPIs_Tbl[Today Financing Amount],MATCH($A77,Credit_KPIs_Tbl[Date - التاريخ],0)),""))</f>
        <v/>
      </c>
      <c r="D77">
        <f>IF($A77&gt;TODAY(),"",IFERROR(INDEX(Credit_KPIs_Tbl[Total Number Contracts],MATCH($A77,Credit_KPIs_Tbl[Date - التاريخ],0)),""))</f>
        <v/>
      </c>
      <c r="E77">
        <f>IF($A77&gt;TODAY(),"",IFERROR(INDEX(Credit_KPIs_Tbl[Cancelled],MATCH($A77,Credit_KPIs_Tbl[Date - التاريخ],0)),""))</f>
        <v/>
      </c>
      <c r="F77">
        <f>IF($A77&gt;TODAY(),"",SUMIFS(Collection_Summary_Tbl[Amount - المبلغ],Collection_Summary_Tbl[Item - البند],"الاجمالي",Collection_Summary_Tbl[Date To - الى],$A77))</f>
        <v/>
      </c>
      <c r="G77">
        <f>IF($A77&gt;TODAY(),"",SUMIFS(Sales_Tbl[Count - العدد],Sales_Tbl[Date - التاريخ],$A77))</f>
        <v/>
      </c>
      <c r="H77">
        <f>IF($A77&gt;TODAY(),"",SUMIFS(Sales_Tbl[Count - العدد],Sales_Tbl[Status - الحالة],"Accepted - تم التنفيذ",Sales_Tbl[Date - التاريخ],$A77))</f>
        <v/>
      </c>
      <c r="I77">
        <f>IF($A77&gt;TODAY(),"",SUMIFS(Customer_Care_Tbl[Active - نشط],Customer_Care_Tbl[Date - التاريخ],$A77))</f>
        <v/>
      </c>
      <c r="J77">
        <f>IF($A77&gt;TODAY(),"",SUMIFS(Customer_Care_Tbl[Close - مغلق],Customer_Care_Tbl[Date - التاريخ],$A77))</f>
        <v/>
      </c>
    </row>
    <row r="78">
      <c r="A78">
        <f>A77+1</f>
        <v/>
      </c>
      <c r="B78">
        <f>IF($A78&gt;TODAY(),"",IFERROR(INDEX(Credit_KPIs_Tbl[Total Financing Amount],MATCH($A78,Credit_KPIs_Tbl[Date - التاريخ],0)),""))</f>
        <v/>
      </c>
      <c r="C78">
        <f>IF($A78&gt;TODAY(),"",IFERROR(INDEX(Credit_KPIs_Tbl[Today Financing Amount],MATCH($A78,Credit_KPIs_Tbl[Date - التاريخ],0)),""))</f>
        <v/>
      </c>
      <c r="D78">
        <f>IF($A78&gt;TODAY(),"",IFERROR(INDEX(Credit_KPIs_Tbl[Total Number Contracts],MATCH($A78,Credit_KPIs_Tbl[Date - التاريخ],0)),""))</f>
        <v/>
      </c>
      <c r="E78">
        <f>IF($A78&gt;TODAY(),"",IFERROR(INDEX(Credit_KPIs_Tbl[Cancelled],MATCH($A78,Credit_KPIs_Tbl[Date - التاريخ],0)),""))</f>
        <v/>
      </c>
      <c r="F78">
        <f>IF($A78&gt;TODAY(),"",SUMIFS(Collection_Summary_Tbl[Amount - المبلغ],Collection_Summary_Tbl[Item - البند],"الاجمالي",Collection_Summary_Tbl[Date To - الى],$A78))</f>
        <v/>
      </c>
      <c r="G78">
        <f>IF($A78&gt;TODAY(),"",SUMIFS(Sales_Tbl[Count - العدد],Sales_Tbl[Date - التاريخ],$A78))</f>
        <v/>
      </c>
      <c r="H78">
        <f>IF($A78&gt;TODAY(),"",SUMIFS(Sales_Tbl[Count - العدد],Sales_Tbl[Status - الحالة],"Accepted - تم التنفيذ",Sales_Tbl[Date - التاريخ],$A78))</f>
        <v/>
      </c>
      <c r="I78">
        <f>IF($A78&gt;TODAY(),"",SUMIFS(Customer_Care_Tbl[Active - نشط],Customer_Care_Tbl[Date - التاريخ],$A78))</f>
        <v/>
      </c>
      <c r="J78">
        <f>IF($A78&gt;TODAY(),"",SUMIFS(Customer_Care_Tbl[Close - مغلق],Customer_Care_Tbl[Date - التاريخ],$A78))</f>
        <v/>
      </c>
    </row>
    <row r="79">
      <c r="A79">
        <f>A78+1</f>
        <v/>
      </c>
      <c r="B79">
        <f>IF($A79&gt;TODAY(),"",IFERROR(INDEX(Credit_KPIs_Tbl[Total Financing Amount],MATCH($A79,Credit_KPIs_Tbl[Date - التاريخ],0)),""))</f>
        <v/>
      </c>
      <c r="C79">
        <f>IF($A79&gt;TODAY(),"",IFERROR(INDEX(Credit_KPIs_Tbl[Today Financing Amount],MATCH($A79,Credit_KPIs_Tbl[Date - التاريخ],0)),""))</f>
        <v/>
      </c>
      <c r="D79">
        <f>IF($A79&gt;TODAY(),"",IFERROR(INDEX(Credit_KPIs_Tbl[Total Number Contracts],MATCH($A79,Credit_KPIs_Tbl[Date - التاريخ],0)),""))</f>
        <v/>
      </c>
      <c r="E79">
        <f>IF($A79&gt;TODAY(),"",IFERROR(INDEX(Credit_KPIs_Tbl[Cancelled],MATCH($A79,Credit_KPIs_Tbl[Date - التاريخ],0)),""))</f>
        <v/>
      </c>
      <c r="F79">
        <f>IF($A79&gt;TODAY(),"",SUMIFS(Collection_Summary_Tbl[Amount - المبلغ],Collection_Summary_Tbl[Item - البند],"الاجمالي",Collection_Summary_Tbl[Date To - الى],$A79))</f>
        <v/>
      </c>
      <c r="G79">
        <f>IF($A79&gt;TODAY(),"",SUMIFS(Sales_Tbl[Count - العدد],Sales_Tbl[Date - التاريخ],$A79))</f>
        <v/>
      </c>
      <c r="H79">
        <f>IF($A79&gt;TODAY(),"",SUMIFS(Sales_Tbl[Count - العدد],Sales_Tbl[Status - الحالة],"Accepted - تم التنفيذ",Sales_Tbl[Date - التاريخ],$A79))</f>
        <v/>
      </c>
      <c r="I79">
        <f>IF($A79&gt;TODAY(),"",SUMIFS(Customer_Care_Tbl[Active - نشط],Customer_Care_Tbl[Date - التاريخ],$A79))</f>
        <v/>
      </c>
      <c r="J79">
        <f>IF($A79&gt;TODAY(),"",SUMIFS(Customer_Care_Tbl[Close - مغلق],Customer_Care_Tbl[Date - التاريخ],$A79))</f>
        <v/>
      </c>
    </row>
    <row r="80">
      <c r="A80">
        <f>A79+1</f>
        <v/>
      </c>
      <c r="B80">
        <f>IF($A80&gt;TODAY(),"",IFERROR(INDEX(Credit_KPIs_Tbl[Total Financing Amount],MATCH($A80,Credit_KPIs_Tbl[Date - التاريخ],0)),""))</f>
        <v/>
      </c>
      <c r="C80">
        <f>IF($A80&gt;TODAY(),"",IFERROR(INDEX(Credit_KPIs_Tbl[Today Financing Amount],MATCH($A80,Credit_KPIs_Tbl[Date - التاريخ],0)),""))</f>
        <v/>
      </c>
      <c r="D80">
        <f>IF($A80&gt;TODAY(),"",IFERROR(INDEX(Credit_KPIs_Tbl[Total Number Contracts],MATCH($A80,Credit_KPIs_Tbl[Date - التاريخ],0)),""))</f>
        <v/>
      </c>
      <c r="E80">
        <f>IF($A80&gt;TODAY(),"",IFERROR(INDEX(Credit_KPIs_Tbl[Cancelled],MATCH($A80,Credit_KPIs_Tbl[Date - التاريخ],0)),""))</f>
        <v/>
      </c>
      <c r="F80">
        <f>IF($A80&gt;TODAY(),"",SUMIFS(Collection_Summary_Tbl[Amount - المبلغ],Collection_Summary_Tbl[Item - البند],"الاجمالي",Collection_Summary_Tbl[Date To - الى],$A80))</f>
        <v/>
      </c>
      <c r="G80">
        <f>IF($A80&gt;TODAY(),"",SUMIFS(Sales_Tbl[Count - العدد],Sales_Tbl[Date - التاريخ],$A80))</f>
        <v/>
      </c>
      <c r="H80">
        <f>IF($A80&gt;TODAY(),"",SUMIFS(Sales_Tbl[Count - العدد],Sales_Tbl[Status - الحالة],"Accepted - تم التنفيذ",Sales_Tbl[Date - التاريخ],$A80))</f>
        <v/>
      </c>
      <c r="I80">
        <f>IF($A80&gt;TODAY(),"",SUMIFS(Customer_Care_Tbl[Active - نشط],Customer_Care_Tbl[Date - التاريخ],$A80))</f>
        <v/>
      </c>
      <c r="J80">
        <f>IF($A80&gt;TODAY(),"",SUMIFS(Customer_Care_Tbl[Close - مغلق],Customer_Care_Tbl[Date - التاريخ],$A80))</f>
        <v/>
      </c>
    </row>
    <row r="81">
      <c r="A81">
        <f>A80+1</f>
        <v/>
      </c>
      <c r="B81">
        <f>IF($A81&gt;TODAY(),"",IFERROR(INDEX(Credit_KPIs_Tbl[Total Financing Amount],MATCH($A81,Credit_KPIs_Tbl[Date - التاريخ],0)),""))</f>
        <v/>
      </c>
      <c r="C81">
        <f>IF($A81&gt;TODAY(),"",IFERROR(INDEX(Credit_KPIs_Tbl[Today Financing Amount],MATCH($A81,Credit_KPIs_Tbl[Date - التاريخ],0)),""))</f>
        <v/>
      </c>
      <c r="D81">
        <f>IF($A81&gt;TODAY(),"",IFERROR(INDEX(Credit_KPIs_Tbl[Total Number Contracts],MATCH($A81,Credit_KPIs_Tbl[Date - التاريخ],0)),""))</f>
        <v/>
      </c>
      <c r="E81">
        <f>IF($A81&gt;TODAY(),"",IFERROR(INDEX(Credit_KPIs_Tbl[Cancelled],MATCH($A81,Credit_KPIs_Tbl[Date - التاريخ],0)),""))</f>
        <v/>
      </c>
      <c r="F81">
        <f>IF($A81&gt;TODAY(),"",SUMIFS(Collection_Summary_Tbl[Amount - المبلغ],Collection_Summary_Tbl[Item - البند],"الاجمالي",Collection_Summary_Tbl[Date To - الى],$A81))</f>
        <v/>
      </c>
      <c r="G81">
        <f>IF($A81&gt;TODAY(),"",SUMIFS(Sales_Tbl[Count - العدد],Sales_Tbl[Date - التاريخ],$A81))</f>
        <v/>
      </c>
      <c r="H81">
        <f>IF($A81&gt;TODAY(),"",SUMIFS(Sales_Tbl[Count - العدد],Sales_Tbl[Status - الحالة],"Accepted - تم التنفيذ",Sales_Tbl[Date - التاريخ],$A81))</f>
        <v/>
      </c>
      <c r="I81">
        <f>IF($A81&gt;TODAY(),"",SUMIFS(Customer_Care_Tbl[Active - نشط],Customer_Care_Tbl[Date - التاريخ],$A81))</f>
        <v/>
      </c>
      <c r="J81">
        <f>IF($A81&gt;TODAY(),"",SUMIFS(Customer_Care_Tbl[Close - مغلق],Customer_Care_Tbl[Date - التاريخ],$A81))</f>
        <v/>
      </c>
    </row>
    <row r="82">
      <c r="A82">
        <f>A81+1</f>
        <v/>
      </c>
      <c r="B82">
        <f>IF($A82&gt;TODAY(),"",IFERROR(INDEX(Credit_KPIs_Tbl[Total Financing Amount],MATCH($A82,Credit_KPIs_Tbl[Date - التاريخ],0)),""))</f>
        <v/>
      </c>
      <c r="C82">
        <f>IF($A82&gt;TODAY(),"",IFERROR(INDEX(Credit_KPIs_Tbl[Today Financing Amount],MATCH($A82,Credit_KPIs_Tbl[Date - التاريخ],0)),""))</f>
        <v/>
      </c>
      <c r="D82">
        <f>IF($A82&gt;TODAY(),"",IFERROR(INDEX(Credit_KPIs_Tbl[Total Number Contracts],MATCH($A82,Credit_KPIs_Tbl[Date - التاريخ],0)),""))</f>
        <v/>
      </c>
      <c r="E82">
        <f>IF($A82&gt;TODAY(),"",IFERROR(INDEX(Credit_KPIs_Tbl[Cancelled],MATCH($A82,Credit_KPIs_Tbl[Date - التاريخ],0)),""))</f>
        <v/>
      </c>
      <c r="F82">
        <f>IF($A82&gt;TODAY(),"",SUMIFS(Collection_Summary_Tbl[Amount - المبلغ],Collection_Summary_Tbl[Item - البند],"الاجمالي",Collection_Summary_Tbl[Date To - الى],$A82))</f>
        <v/>
      </c>
      <c r="G82">
        <f>IF($A82&gt;TODAY(),"",SUMIFS(Sales_Tbl[Count - العدد],Sales_Tbl[Date - التاريخ],$A82))</f>
        <v/>
      </c>
      <c r="H82">
        <f>IF($A82&gt;TODAY(),"",SUMIFS(Sales_Tbl[Count - العدد],Sales_Tbl[Status - الحالة],"Accepted - تم التنفيذ",Sales_Tbl[Date - التاريخ],$A82))</f>
        <v/>
      </c>
      <c r="I82">
        <f>IF($A82&gt;TODAY(),"",SUMIFS(Customer_Care_Tbl[Active - نشط],Customer_Care_Tbl[Date - التاريخ],$A82))</f>
        <v/>
      </c>
      <c r="J82">
        <f>IF($A82&gt;TODAY(),"",SUMIFS(Customer_Care_Tbl[Close - مغلق],Customer_Care_Tbl[Date - التاريخ],$A82))</f>
        <v/>
      </c>
    </row>
    <row r="83">
      <c r="A83">
        <f>A82+1</f>
        <v/>
      </c>
      <c r="B83">
        <f>IF($A83&gt;TODAY(),"",IFERROR(INDEX(Credit_KPIs_Tbl[Total Financing Amount],MATCH($A83,Credit_KPIs_Tbl[Date - التاريخ],0)),""))</f>
        <v/>
      </c>
      <c r="C83">
        <f>IF($A83&gt;TODAY(),"",IFERROR(INDEX(Credit_KPIs_Tbl[Today Financing Amount],MATCH($A83,Credit_KPIs_Tbl[Date - التاريخ],0)),""))</f>
        <v/>
      </c>
      <c r="D83">
        <f>IF($A83&gt;TODAY(),"",IFERROR(INDEX(Credit_KPIs_Tbl[Total Number Contracts],MATCH($A83,Credit_KPIs_Tbl[Date - التاريخ],0)),""))</f>
        <v/>
      </c>
      <c r="E83">
        <f>IF($A83&gt;TODAY(),"",IFERROR(INDEX(Credit_KPIs_Tbl[Cancelled],MATCH($A83,Credit_KPIs_Tbl[Date - التاريخ],0)),""))</f>
        <v/>
      </c>
      <c r="F83">
        <f>IF($A83&gt;TODAY(),"",SUMIFS(Collection_Summary_Tbl[Amount - المبلغ],Collection_Summary_Tbl[Item - البند],"الاجمالي",Collection_Summary_Tbl[Date To - الى],$A83))</f>
        <v/>
      </c>
      <c r="G83">
        <f>IF($A83&gt;TODAY(),"",SUMIFS(Sales_Tbl[Count - العدد],Sales_Tbl[Date - التاريخ],$A83))</f>
        <v/>
      </c>
      <c r="H83">
        <f>IF($A83&gt;TODAY(),"",SUMIFS(Sales_Tbl[Count - العدد],Sales_Tbl[Status - الحالة],"Accepted - تم التنفيذ",Sales_Tbl[Date - التاريخ],$A83))</f>
        <v/>
      </c>
      <c r="I83">
        <f>IF($A83&gt;TODAY(),"",SUMIFS(Customer_Care_Tbl[Active - نشط],Customer_Care_Tbl[Date - التاريخ],$A83))</f>
        <v/>
      </c>
      <c r="J83">
        <f>IF($A83&gt;TODAY(),"",SUMIFS(Customer_Care_Tbl[Close - مغلق],Customer_Care_Tbl[Date - التاريخ],$A83))</f>
        <v/>
      </c>
    </row>
    <row r="84">
      <c r="A84">
        <f>A83+1</f>
        <v/>
      </c>
      <c r="B84">
        <f>IF($A84&gt;TODAY(),"",IFERROR(INDEX(Credit_KPIs_Tbl[Total Financing Amount],MATCH($A84,Credit_KPIs_Tbl[Date - التاريخ],0)),""))</f>
        <v/>
      </c>
      <c r="C84">
        <f>IF($A84&gt;TODAY(),"",IFERROR(INDEX(Credit_KPIs_Tbl[Today Financing Amount],MATCH($A84,Credit_KPIs_Tbl[Date - التاريخ],0)),""))</f>
        <v/>
      </c>
      <c r="D84">
        <f>IF($A84&gt;TODAY(),"",IFERROR(INDEX(Credit_KPIs_Tbl[Total Number Contracts],MATCH($A84,Credit_KPIs_Tbl[Date - التاريخ],0)),""))</f>
        <v/>
      </c>
      <c r="E84">
        <f>IF($A84&gt;TODAY(),"",IFERROR(INDEX(Credit_KPIs_Tbl[Cancelled],MATCH($A84,Credit_KPIs_Tbl[Date - التاريخ],0)),""))</f>
        <v/>
      </c>
      <c r="F84">
        <f>IF($A84&gt;TODAY(),"",SUMIFS(Collection_Summary_Tbl[Amount - المبلغ],Collection_Summary_Tbl[Item - البند],"الاجمالي",Collection_Summary_Tbl[Date To - الى],$A84))</f>
        <v/>
      </c>
      <c r="G84">
        <f>IF($A84&gt;TODAY(),"",SUMIFS(Sales_Tbl[Count - العدد],Sales_Tbl[Date - التاريخ],$A84))</f>
        <v/>
      </c>
      <c r="H84">
        <f>IF($A84&gt;TODAY(),"",SUMIFS(Sales_Tbl[Count - العدد],Sales_Tbl[Status - الحالة],"Accepted - تم التنفيذ",Sales_Tbl[Date - التاريخ],$A84))</f>
        <v/>
      </c>
      <c r="I84">
        <f>IF($A84&gt;TODAY(),"",SUMIFS(Customer_Care_Tbl[Active - نشط],Customer_Care_Tbl[Date - التاريخ],$A84))</f>
        <v/>
      </c>
      <c r="J84">
        <f>IF($A84&gt;TODAY(),"",SUMIFS(Customer_Care_Tbl[Close - مغلق],Customer_Care_Tbl[Date - التاريخ],$A84))</f>
        <v/>
      </c>
    </row>
    <row r="85">
      <c r="A85">
        <f>A84+1</f>
        <v/>
      </c>
      <c r="B85">
        <f>IF($A85&gt;TODAY(),"",IFERROR(INDEX(Credit_KPIs_Tbl[Total Financing Amount],MATCH($A85,Credit_KPIs_Tbl[Date - التاريخ],0)),""))</f>
        <v/>
      </c>
      <c r="C85">
        <f>IF($A85&gt;TODAY(),"",IFERROR(INDEX(Credit_KPIs_Tbl[Today Financing Amount],MATCH($A85,Credit_KPIs_Tbl[Date - التاريخ],0)),""))</f>
        <v/>
      </c>
      <c r="D85">
        <f>IF($A85&gt;TODAY(),"",IFERROR(INDEX(Credit_KPIs_Tbl[Total Number Contracts],MATCH($A85,Credit_KPIs_Tbl[Date - التاريخ],0)),""))</f>
        <v/>
      </c>
      <c r="E85">
        <f>IF($A85&gt;TODAY(),"",IFERROR(INDEX(Credit_KPIs_Tbl[Cancelled],MATCH($A85,Credit_KPIs_Tbl[Date - التاريخ],0)),""))</f>
        <v/>
      </c>
      <c r="F85">
        <f>IF($A85&gt;TODAY(),"",SUMIFS(Collection_Summary_Tbl[Amount - المبلغ],Collection_Summary_Tbl[Item - البند],"الاجمالي",Collection_Summary_Tbl[Date To - الى],$A85))</f>
        <v/>
      </c>
      <c r="G85">
        <f>IF($A85&gt;TODAY(),"",SUMIFS(Sales_Tbl[Count - العدد],Sales_Tbl[Date - التاريخ],$A85))</f>
        <v/>
      </c>
      <c r="H85">
        <f>IF($A85&gt;TODAY(),"",SUMIFS(Sales_Tbl[Count - العدد],Sales_Tbl[Status - الحالة],"Accepted - تم التنفيذ",Sales_Tbl[Date - التاريخ],$A85))</f>
        <v/>
      </c>
      <c r="I85">
        <f>IF($A85&gt;TODAY(),"",SUMIFS(Customer_Care_Tbl[Active - نشط],Customer_Care_Tbl[Date - التاريخ],$A85))</f>
        <v/>
      </c>
      <c r="J85">
        <f>IF($A85&gt;TODAY(),"",SUMIFS(Customer_Care_Tbl[Close - مغلق],Customer_Care_Tbl[Date - التاريخ],$A85))</f>
        <v/>
      </c>
    </row>
    <row r="86">
      <c r="A86">
        <f>A85+1</f>
        <v/>
      </c>
      <c r="B86">
        <f>IF($A86&gt;TODAY(),"",IFERROR(INDEX(Credit_KPIs_Tbl[Total Financing Amount],MATCH($A86,Credit_KPIs_Tbl[Date - التاريخ],0)),""))</f>
        <v/>
      </c>
      <c r="C86">
        <f>IF($A86&gt;TODAY(),"",IFERROR(INDEX(Credit_KPIs_Tbl[Today Financing Amount],MATCH($A86,Credit_KPIs_Tbl[Date - التاريخ],0)),""))</f>
        <v/>
      </c>
      <c r="D86">
        <f>IF($A86&gt;TODAY(),"",IFERROR(INDEX(Credit_KPIs_Tbl[Total Number Contracts],MATCH($A86,Credit_KPIs_Tbl[Date - التاريخ],0)),""))</f>
        <v/>
      </c>
      <c r="E86">
        <f>IF($A86&gt;TODAY(),"",IFERROR(INDEX(Credit_KPIs_Tbl[Cancelled],MATCH($A86,Credit_KPIs_Tbl[Date - التاريخ],0)),""))</f>
        <v/>
      </c>
      <c r="F86">
        <f>IF($A86&gt;TODAY(),"",SUMIFS(Collection_Summary_Tbl[Amount - المبلغ],Collection_Summary_Tbl[Item - البند],"الاجمالي",Collection_Summary_Tbl[Date To - الى],$A86))</f>
        <v/>
      </c>
      <c r="G86">
        <f>IF($A86&gt;TODAY(),"",SUMIFS(Sales_Tbl[Count - العدد],Sales_Tbl[Date - التاريخ],$A86))</f>
        <v/>
      </c>
      <c r="H86">
        <f>IF($A86&gt;TODAY(),"",SUMIFS(Sales_Tbl[Count - العدد],Sales_Tbl[Status - الحالة],"Accepted - تم التنفيذ",Sales_Tbl[Date - التاريخ],$A86))</f>
        <v/>
      </c>
      <c r="I86">
        <f>IF($A86&gt;TODAY(),"",SUMIFS(Customer_Care_Tbl[Active - نشط],Customer_Care_Tbl[Date - التاريخ],$A86))</f>
        <v/>
      </c>
      <c r="J86">
        <f>IF($A86&gt;TODAY(),"",SUMIFS(Customer_Care_Tbl[Close - مغلق],Customer_Care_Tbl[Date - التاريخ],$A86))</f>
        <v/>
      </c>
    </row>
    <row r="87">
      <c r="A87">
        <f>A86+1</f>
        <v/>
      </c>
      <c r="B87">
        <f>IF($A87&gt;TODAY(),"",IFERROR(INDEX(Credit_KPIs_Tbl[Total Financing Amount],MATCH($A87,Credit_KPIs_Tbl[Date - التاريخ],0)),""))</f>
        <v/>
      </c>
      <c r="C87">
        <f>IF($A87&gt;TODAY(),"",IFERROR(INDEX(Credit_KPIs_Tbl[Today Financing Amount],MATCH($A87,Credit_KPIs_Tbl[Date - التاريخ],0)),""))</f>
        <v/>
      </c>
      <c r="D87">
        <f>IF($A87&gt;TODAY(),"",IFERROR(INDEX(Credit_KPIs_Tbl[Total Number Contracts],MATCH($A87,Credit_KPIs_Tbl[Date - التاريخ],0)),""))</f>
        <v/>
      </c>
      <c r="E87">
        <f>IF($A87&gt;TODAY(),"",IFERROR(INDEX(Credit_KPIs_Tbl[Cancelled],MATCH($A87,Credit_KPIs_Tbl[Date - التاريخ],0)),""))</f>
        <v/>
      </c>
      <c r="F87">
        <f>IF($A87&gt;TODAY(),"",SUMIFS(Collection_Summary_Tbl[Amount - المبلغ],Collection_Summary_Tbl[Item - البند],"الاجمالي",Collection_Summary_Tbl[Date To - الى],$A87))</f>
        <v/>
      </c>
      <c r="G87">
        <f>IF($A87&gt;TODAY(),"",SUMIFS(Sales_Tbl[Count - العدد],Sales_Tbl[Date - التاريخ],$A87))</f>
        <v/>
      </c>
      <c r="H87">
        <f>IF($A87&gt;TODAY(),"",SUMIFS(Sales_Tbl[Count - العدد],Sales_Tbl[Status - الحالة],"Accepted - تم التنفيذ",Sales_Tbl[Date - التاريخ],$A87))</f>
        <v/>
      </c>
      <c r="I87">
        <f>IF($A87&gt;TODAY(),"",SUMIFS(Customer_Care_Tbl[Active - نشط],Customer_Care_Tbl[Date - التاريخ],$A87))</f>
        <v/>
      </c>
      <c r="J87">
        <f>IF($A87&gt;TODAY(),"",SUMIFS(Customer_Care_Tbl[Close - مغلق],Customer_Care_Tbl[Date - التاريخ],$A87))</f>
        <v/>
      </c>
    </row>
    <row r="88">
      <c r="A88">
        <f>A87+1</f>
        <v/>
      </c>
      <c r="B88">
        <f>IF($A88&gt;TODAY(),"",IFERROR(INDEX(Credit_KPIs_Tbl[Total Financing Amount],MATCH($A88,Credit_KPIs_Tbl[Date - التاريخ],0)),""))</f>
        <v/>
      </c>
      <c r="C88">
        <f>IF($A88&gt;TODAY(),"",IFERROR(INDEX(Credit_KPIs_Tbl[Today Financing Amount],MATCH($A88,Credit_KPIs_Tbl[Date - التاريخ],0)),""))</f>
        <v/>
      </c>
      <c r="D88">
        <f>IF($A88&gt;TODAY(),"",IFERROR(INDEX(Credit_KPIs_Tbl[Total Number Contracts],MATCH($A88,Credit_KPIs_Tbl[Date - التاريخ],0)),""))</f>
        <v/>
      </c>
      <c r="E88">
        <f>IF($A88&gt;TODAY(),"",IFERROR(INDEX(Credit_KPIs_Tbl[Cancelled],MATCH($A88,Credit_KPIs_Tbl[Date - التاريخ],0)),""))</f>
        <v/>
      </c>
      <c r="F88">
        <f>IF($A88&gt;TODAY(),"",SUMIFS(Collection_Summary_Tbl[Amount - المبلغ],Collection_Summary_Tbl[Item - البند],"الاجمالي",Collection_Summary_Tbl[Date To - الى],$A88))</f>
        <v/>
      </c>
      <c r="G88">
        <f>IF($A88&gt;TODAY(),"",SUMIFS(Sales_Tbl[Count - العدد],Sales_Tbl[Date - التاريخ],$A88))</f>
        <v/>
      </c>
      <c r="H88">
        <f>IF($A88&gt;TODAY(),"",SUMIFS(Sales_Tbl[Count - العدد],Sales_Tbl[Status - الحالة],"Accepted - تم التنفيذ",Sales_Tbl[Date - التاريخ],$A88))</f>
        <v/>
      </c>
      <c r="I88">
        <f>IF($A88&gt;TODAY(),"",SUMIFS(Customer_Care_Tbl[Active - نشط],Customer_Care_Tbl[Date - التاريخ],$A88))</f>
        <v/>
      </c>
      <c r="J88">
        <f>IF($A88&gt;TODAY(),"",SUMIFS(Customer_Care_Tbl[Close - مغلق],Customer_Care_Tbl[Date - التاريخ],$A88))</f>
        <v/>
      </c>
    </row>
    <row r="89">
      <c r="A89">
        <f>A88+1</f>
        <v/>
      </c>
      <c r="B89">
        <f>IF($A89&gt;TODAY(),"",IFERROR(INDEX(Credit_KPIs_Tbl[Total Financing Amount],MATCH($A89,Credit_KPIs_Tbl[Date - التاريخ],0)),""))</f>
        <v/>
      </c>
      <c r="C89">
        <f>IF($A89&gt;TODAY(),"",IFERROR(INDEX(Credit_KPIs_Tbl[Today Financing Amount],MATCH($A89,Credit_KPIs_Tbl[Date - التاريخ],0)),""))</f>
        <v/>
      </c>
      <c r="D89">
        <f>IF($A89&gt;TODAY(),"",IFERROR(INDEX(Credit_KPIs_Tbl[Total Number Contracts],MATCH($A89,Credit_KPIs_Tbl[Date - التاريخ],0)),""))</f>
        <v/>
      </c>
      <c r="E89">
        <f>IF($A89&gt;TODAY(),"",IFERROR(INDEX(Credit_KPIs_Tbl[Cancelled],MATCH($A89,Credit_KPIs_Tbl[Date - التاريخ],0)),""))</f>
        <v/>
      </c>
      <c r="F89">
        <f>IF($A89&gt;TODAY(),"",SUMIFS(Collection_Summary_Tbl[Amount - المبلغ],Collection_Summary_Tbl[Item - البند],"الاجمالي",Collection_Summary_Tbl[Date To - الى],$A89))</f>
        <v/>
      </c>
      <c r="G89">
        <f>IF($A89&gt;TODAY(),"",SUMIFS(Sales_Tbl[Count - العدد],Sales_Tbl[Date - التاريخ],$A89))</f>
        <v/>
      </c>
      <c r="H89">
        <f>IF($A89&gt;TODAY(),"",SUMIFS(Sales_Tbl[Count - العدد],Sales_Tbl[Status - الحالة],"Accepted - تم التنفيذ",Sales_Tbl[Date - التاريخ],$A89))</f>
        <v/>
      </c>
      <c r="I89">
        <f>IF($A89&gt;TODAY(),"",SUMIFS(Customer_Care_Tbl[Active - نشط],Customer_Care_Tbl[Date - التاريخ],$A89))</f>
        <v/>
      </c>
      <c r="J89">
        <f>IF($A89&gt;TODAY(),"",SUMIFS(Customer_Care_Tbl[Close - مغلق],Customer_Care_Tbl[Date - التاريخ],$A89))</f>
        <v/>
      </c>
    </row>
    <row r="90">
      <c r="A90">
        <f>A89+1</f>
        <v/>
      </c>
      <c r="B90">
        <f>IF($A90&gt;TODAY(),"",IFERROR(INDEX(Credit_KPIs_Tbl[Total Financing Amount],MATCH($A90,Credit_KPIs_Tbl[Date - التاريخ],0)),""))</f>
        <v/>
      </c>
      <c r="C90">
        <f>IF($A90&gt;TODAY(),"",IFERROR(INDEX(Credit_KPIs_Tbl[Today Financing Amount],MATCH($A90,Credit_KPIs_Tbl[Date - التاريخ],0)),""))</f>
        <v/>
      </c>
      <c r="D90">
        <f>IF($A90&gt;TODAY(),"",IFERROR(INDEX(Credit_KPIs_Tbl[Total Number Contracts],MATCH($A90,Credit_KPIs_Tbl[Date - التاريخ],0)),""))</f>
        <v/>
      </c>
      <c r="E90">
        <f>IF($A90&gt;TODAY(),"",IFERROR(INDEX(Credit_KPIs_Tbl[Cancelled],MATCH($A90,Credit_KPIs_Tbl[Date - التاريخ],0)),""))</f>
        <v/>
      </c>
      <c r="F90">
        <f>IF($A90&gt;TODAY(),"",SUMIFS(Collection_Summary_Tbl[Amount - المبلغ],Collection_Summary_Tbl[Item - البند],"الاجمالي",Collection_Summary_Tbl[Date To - الى],$A90))</f>
        <v/>
      </c>
      <c r="G90">
        <f>IF($A90&gt;TODAY(),"",SUMIFS(Sales_Tbl[Count - العدد],Sales_Tbl[Date - التاريخ],$A90))</f>
        <v/>
      </c>
      <c r="H90">
        <f>IF($A90&gt;TODAY(),"",SUMIFS(Sales_Tbl[Count - العدد],Sales_Tbl[Status - الحالة],"Accepted - تم التنفيذ",Sales_Tbl[Date - التاريخ],$A90))</f>
        <v/>
      </c>
      <c r="I90">
        <f>IF($A90&gt;TODAY(),"",SUMIFS(Customer_Care_Tbl[Active - نشط],Customer_Care_Tbl[Date - التاريخ],$A90))</f>
        <v/>
      </c>
      <c r="J90">
        <f>IF($A90&gt;TODAY(),"",SUMIFS(Customer_Care_Tbl[Close - مغلق],Customer_Care_Tbl[Date - التاريخ],$A90))</f>
        <v/>
      </c>
    </row>
    <row r="91">
      <c r="A91">
        <f>A90+1</f>
        <v/>
      </c>
      <c r="B91">
        <f>IF($A91&gt;TODAY(),"",IFERROR(INDEX(Credit_KPIs_Tbl[Total Financing Amount],MATCH($A91,Credit_KPIs_Tbl[Date - التاريخ],0)),""))</f>
        <v/>
      </c>
      <c r="C91">
        <f>IF($A91&gt;TODAY(),"",IFERROR(INDEX(Credit_KPIs_Tbl[Today Financing Amount],MATCH($A91,Credit_KPIs_Tbl[Date - التاريخ],0)),""))</f>
        <v/>
      </c>
      <c r="D91">
        <f>IF($A91&gt;TODAY(),"",IFERROR(INDEX(Credit_KPIs_Tbl[Total Number Contracts],MATCH($A91,Credit_KPIs_Tbl[Date - التاريخ],0)),""))</f>
        <v/>
      </c>
      <c r="E91">
        <f>IF($A91&gt;TODAY(),"",IFERROR(INDEX(Credit_KPIs_Tbl[Cancelled],MATCH($A91,Credit_KPIs_Tbl[Date - التاريخ],0)),""))</f>
        <v/>
      </c>
      <c r="F91">
        <f>IF($A91&gt;TODAY(),"",SUMIFS(Collection_Summary_Tbl[Amount - المبلغ],Collection_Summary_Tbl[Item - البند],"الاجمالي",Collection_Summary_Tbl[Date To - الى],$A91))</f>
        <v/>
      </c>
      <c r="G91">
        <f>IF($A91&gt;TODAY(),"",SUMIFS(Sales_Tbl[Count - العدد],Sales_Tbl[Date - التاريخ],$A91))</f>
        <v/>
      </c>
      <c r="H91">
        <f>IF($A91&gt;TODAY(),"",SUMIFS(Sales_Tbl[Count - العدد],Sales_Tbl[Status - الحالة],"Accepted - تم التنفيذ",Sales_Tbl[Date - التاريخ],$A91))</f>
        <v/>
      </c>
      <c r="I91">
        <f>IF($A91&gt;TODAY(),"",SUMIFS(Customer_Care_Tbl[Active - نشط],Customer_Care_Tbl[Date - التاريخ],$A91))</f>
        <v/>
      </c>
      <c r="J91">
        <f>IF($A91&gt;TODAY(),"",SUMIFS(Customer_Care_Tbl[Close - مغلق],Customer_Care_Tbl[Date - التاريخ],$A91))</f>
        <v/>
      </c>
    </row>
    <row r="92">
      <c r="A92">
        <f>A91+1</f>
        <v/>
      </c>
      <c r="B92">
        <f>IF($A92&gt;TODAY(),"",IFERROR(INDEX(Credit_KPIs_Tbl[Total Financing Amount],MATCH($A92,Credit_KPIs_Tbl[Date - التاريخ],0)),""))</f>
        <v/>
      </c>
      <c r="C92">
        <f>IF($A92&gt;TODAY(),"",IFERROR(INDEX(Credit_KPIs_Tbl[Today Financing Amount],MATCH($A92,Credit_KPIs_Tbl[Date - التاريخ],0)),""))</f>
        <v/>
      </c>
      <c r="D92">
        <f>IF($A92&gt;TODAY(),"",IFERROR(INDEX(Credit_KPIs_Tbl[Total Number Contracts],MATCH($A92,Credit_KPIs_Tbl[Date - التاريخ],0)),""))</f>
        <v/>
      </c>
      <c r="E92">
        <f>IF($A92&gt;TODAY(),"",IFERROR(INDEX(Credit_KPIs_Tbl[Cancelled],MATCH($A92,Credit_KPIs_Tbl[Date - التاريخ],0)),""))</f>
        <v/>
      </c>
      <c r="F92">
        <f>IF($A92&gt;TODAY(),"",SUMIFS(Collection_Summary_Tbl[Amount - المبلغ],Collection_Summary_Tbl[Item - البند],"الاجمالي",Collection_Summary_Tbl[Date To - الى],$A92))</f>
        <v/>
      </c>
      <c r="G92">
        <f>IF($A92&gt;TODAY(),"",SUMIFS(Sales_Tbl[Count - العدد],Sales_Tbl[Date - التاريخ],$A92))</f>
        <v/>
      </c>
      <c r="H92">
        <f>IF($A92&gt;TODAY(),"",SUMIFS(Sales_Tbl[Count - العدد],Sales_Tbl[Status - الحالة],"Accepted - تم التنفيذ",Sales_Tbl[Date - التاريخ],$A92))</f>
        <v/>
      </c>
      <c r="I92">
        <f>IF($A92&gt;TODAY(),"",SUMIFS(Customer_Care_Tbl[Active - نشط],Customer_Care_Tbl[Date - التاريخ],$A92))</f>
        <v/>
      </c>
      <c r="J92">
        <f>IF($A92&gt;TODAY(),"",SUMIFS(Customer_Care_Tbl[Close - مغلق],Customer_Care_Tbl[Date - التاريخ],$A92))</f>
        <v/>
      </c>
    </row>
    <row r="93">
      <c r="A93">
        <f>A92+1</f>
        <v/>
      </c>
      <c r="B93">
        <f>IF($A93&gt;TODAY(),"",IFERROR(INDEX(Credit_KPIs_Tbl[Total Financing Amount],MATCH($A93,Credit_KPIs_Tbl[Date - التاريخ],0)),""))</f>
        <v/>
      </c>
      <c r="C93">
        <f>IF($A93&gt;TODAY(),"",IFERROR(INDEX(Credit_KPIs_Tbl[Today Financing Amount],MATCH($A93,Credit_KPIs_Tbl[Date - التاريخ],0)),""))</f>
        <v/>
      </c>
      <c r="D93">
        <f>IF($A93&gt;TODAY(),"",IFERROR(INDEX(Credit_KPIs_Tbl[Total Number Contracts],MATCH($A93,Credit_KPIs_Tbl[Date - التاريخ],0)),""))</f>
        <v/>
      </c>
      <c r="E93">
        <f>IF($A93&gt;TODAY(),"",IFERROR(INDEX(Credit_KPIs_Tbl[Cancelled],MATCH($A93,Credit_KPIs_Tbl[Date - التاريخ],0)),""))</f>
        <v/>
      </c>
      <c r="F93">
        <f>IF($A93&gt;TODAY(),"",SUMIFS(Collection_Summary_Tbl[Amount - المبلغ],Collection_Summary_Tbl[Item - البند],"الاجمالي",Collection_Summary_Tbl[Date To - الى],$A93))</f>
        <v/>
      </c>
      <c r="G93">
        <f>IF($A93&gt;TODAY(),"",SUMIFS(Sales_Tbl[Count - العدد],Sales_Tbl[Date - التاريخ],$A93))</f>
        <v/>
      </c>
      <c r="H93">
        <f>IF($A93&gt;TODAY(),"",SUMIFS(Sales_Tbl[Count - العدد],Sales_Tbl[Status - الحالة],"Accepted - تم التنفيذ",Sales_Tbl[Date - التاريخ],$A93))</f>
        <v/>
      </c>
      <c r="I93">
        <f>IF($A93&gt;TODAY(),"",SUMIFS(Customer_Care_Tbl[Active - نشط],Customer_Care_Tbl[Date - التاريخ],$A93))</f>
        <v/>
      </c>
      <c r="J93">
        <f>IF($A93&gt;TODAY(),"",SUMIFS(Customer_Care_Tbl[Close - مغلق],Customer_Care_Tbl[Date - التاريخ],$A93))</f>
        <v/>
      </c>
    </row>
    <row r="94">
      <c r="A94">
        <f>A93+1</f>
        <v/>
      </c>
      <c r="B94">
        <f>IF($A94&gt;TODAY(),"",IFERROR(INDEX(Credit_KPIs_Tbl[Total Financing Amount],MATCH($A94,Credit_KPIs_Tbl[Date - التاريخ],0)),""))</f>
        <v/>
      </c>
      <c r="C94">
        <f>IF($A94&gt;TODAY(),"",IFERROR(INDEX(Credit_KPIs_Tbl[Today Financing Amount],MATCH($A94,Credit_KPIs_Tbl[Date - التاريخ],0)),""))</f>
        <v/>
      </c>
      <c r="D94">
        <f>IF($A94&gt;TODAY(),"",IFERROR(INDEX(Credit_KPIs_Tbl[Total Number Contracts],MATCH($A94,Credit_KPIs_Tbl[Date - التاريخ],0)),""))</f>
        <v/>
      </c>
      <c r="E94">
        <f>IF($A94&gt;TODAY(),"",IFERROR(INDEX(Credit_KPIs_Tbl[Cancelled],MATCH($A94,Credit_KPIs_Tbl[Date - التاريخ],0)),""))</f>
        <v/>
      </c>
      <c r="F94">
        <f>IF($A94&gt;TODAY(),"",SUMIFS(Collection_Summary_Tbl[Amount - المبلغ],Collection_Summary_Tbl[Item - البند],"الاجمالي",Collection_Summary_Tbl[Date To - الى],$A94))</f>
        <v/>
      </c>
      <c r="G94">
        <f>IF($A94&gt;TODAY(),"",SUMIFS(Sales_Tbl[Count - العدد],Sales_Tbl[Date - التاريخ],$A94))</f>
        <v/>
      </c>
      <c r="H94">
        <f>IF($A94&gt;TODAY(),"",SUMIFS(Sales_Tbl[Count - العدد],Sales_Tbl[Status - الحالة],"Accepted - تم التنفيذ",Sales_Tbl[Date - التاريخ],$A94))</f>
        <v/>
      </c>
      <c r="I94">
        <f>IF($A94&gt;TODAY(),"",SUMIFS(Customer_Care_Tbl[Active - نشط],Customer_Care_Tbl[Date - التاريخ],$A94))</f>
        <v/>
      </c>
      <c r="J94">
        <f>IF($A94&gt;TODAY(),"",SUMIFS(Customer_Care_Tbl[Close - مغلق],Customer_Care_Tbl[Date - التاريخ],$A94))</f>
        <v/>
      </c>
    </row>
    <row r="95">
      <c r="A95">
        <f>A94+1</f>
        <v/>
      </c>
      <c r="B95">
        <f>IF($A95&gt;TODAY(),"",IFERROR(INDEX(Credit_KPIs_Tbl[Total Financing Amount],MATCH($A95,Credit_KPIs_Tbl[Date - التاريخ],0)),""))</f>
        <v/>
      </c>
      <c r="C95">
        <f>IF($A95&gt;TODAY(),"",IFERROR(INDEX(Credit_KPIs_Tbl[Today Financing Amount],MATCH($A95,Credit_KPIs_Tbl[Date - التاريخ],0)),""))</f>
        <v/>
      </c>
      <c r="D95">
        <f>IF($A95&gt;TODAY(),"",IFERROR(INDEX(Credit_KPIs_Tbl[Total Number Contracts],MATCH($A95,Credit_KPIs_Tbl[Date - التاريخ],0)),""))</f>
        <v/>
      </c>
      <c r="E95">
        <f>IF($A95&gt;TODAY(),"",IFERROR(INDEX(Credit_KPIs_Tbl[Cancelled],MATCH($A95,Credit_KPIs_Tbl[Date - التاريخ],0)),""))</f>
        <v/>
      </c>
      <c r="F95">
        <f>IF($A95&gt;TODAY(),"",SUMIFS(Collection_Summary_Tbl[Amount - المبلغ],Collection_Summary_Tbl[Item - البند],"الاجمالي",Collection_Summary_Tbl[Date To - الى],$A95))</f>
        <v/>
      </c>
      <c r="G95">
        <f>IF($A95&gt;TODAY(),"",SUMIFS(Sales_Tbl[Count - العدد],Sales_Tbl[Date - التاريخ],$A95))</f>
        <v/>
      </c>
      <c r="H95">
        <f>IF($A95&gt;TODAY(),"",SUMIFS(Sales_Tbl[Count - العدد],Sales_Tbl[Status - الحالة],"Accepted - تم التنفيذ",Sales_Tbl[Date - التاريخ],$A95))</f>
        <v/>
      </c>
      <c r="I95">
        <f>IF($A95&gt;TODAY(),"",SUMIFS(Customer_Care_Tbl[Active - نشط],Customer_Care_Tbl[Date - التاريخ],$A95))</f>
        <v/>
      </c>
      <c r="J95">
        <f>IF($A95&gt;TODAY(),"",SUMIFS(Customer_Care_Tbl[Close - مغلق],Customer_Care_Tbl[Date - التاريخ],$A95))</f>
        <v/>
      </c>
    </row>
    <row r="96">
      <c r="A96">
        <f>A95+1</f>
        <v/>
      </c>
      <c r="B96">
        <f>IF($A96&gt;TODAY(),"",IFERROR(INDEX(Credit_KPIs_Tbl[Total Financing Amount],MATCH($A96,Credit_KPIs_Tbl[Date - التاريخ],0)),""))</f>
        <v/>
      </c>
      <c r="C96">
        <f>IF($A96&gt;TODAY(),"",IFERROR(INDEX(Credit_KPIs_Tbl[Today Financing Amount],MATCH($A96,Credit_KPIs_Tbl[Date - التاريخ],0)),""))</f>
        <v/>
      </c>
      <c r="D96">
        <f>IF($A96&gt;TODAY(),"",IFERROR(INDEX(Credit_KPIs_Tbl[Total Number Contracts],MATCH($A96,Credit_KPIs_Tbl[Date - التاريخ],0)),""))</f>
        <v/>
      </c>
      <c r="E96">
        <f>IF($A96&gt;TODAY(),"",IFERROR(INDEX(Credit_KPIs_Tbl[Cancelled],MATCH($A96,Credit_KPIs_Tbl[Date - التاريخ],0)),""))</f>
        <v/>
      </c>
      <c r="F96">
        <f>IF($A96&gt;TODAY(),"",SUMIFS(Collection_Summary_Tbl[Amount - المبلغ],Collection_Summary_Tbl[Item - البند],"الاجمالي",Collection_Summary_Tbl[Date To - الى],$A96))</f>
        <v/>
      </c>
      <c r="G96">
        <f>IF($A96&gt;TODAY(),"",SUMIFS(Sales_Tbl[Count - العدد],Sales_Tbl[Date - التاريخ],$A96))</f>
        <v/>
      </c>
      <c r="H96">
        <f>IF($A96&gt;TODAY(),"",SUMIFS(Sales_Tbl[Count - العدد],Sales_Tbl[Status - الحالة],"Accepted - تم التنفيذ",Sales_Tbl[Date - التاريخ],$A96))</f>
        <v/>
      </c>
      <c r="I96">
        <f>IF($A96&gt;TODAY(),"",SUMIFS(Customer_Care_Tbl[Active - نشط],Customer_Care_Tbl[Date - التاريخ],$A96))</f>
        <v/>
      </c>
      <c r="J96">
        <f>IF($A96&gt;TODAY(),"",SUMIFS(Customer_Care_Tbl[Close - مغلق],Customer_Care_Tbl[Date - التاريخ],$A96))</f>
        <v/>
      </c>
    </row>
    <row r="97">
      <c r="A97">
        <f>A96+1</f>
        <v/>
      </c>
      <c r="B97">
        <f>IF($A97&gt;TODAY(),"",IFERROR(INDEX(Credit_KPIs_Tbl[Total Financing Amount],MATCH($A97,Credit_KPIs_Tbl[Date - التاريخ],0)),""))</f>
        <v/>
      </c>
      <c r="C97">
        <f>IF($A97&gt;TODAY(),"",IFERROR(INDEX(Credit_KPIs_Tbl[Today Financing Amount],MATCH($A97,Credit_KPIs_Tbl[Date - التاريخ],0)),""))</f>
        <v/>
      </c>
      <c r="D97">
        <f>IF($A97&gt;TODAY(),"",IFERROR(INDEX(Credit_KPIs_Tbl[Total Number Contracts],MATCH($A97,Credit_KPIs_Tbl[Date - التاريخ],0)),""))</f>
        <v/>
      </c>
      <c r="E97">
        <f>IF($A97&gt;TODAY(),"",IFERROR(INDEX(Credit_KPIs_Tbl[Cancelled],MATCH($A97,Credit_KPIs_Tbl[Date - التاريخ],0)),""))</f>
        <v/>
      </c>
      <c r="F97">
        <f>IF($A97&gt;TODAY(),"",SUMIFS(Collection_Summary_Tbl[Amount - المبلغ],Collection_Summary_Tbl[Item - البند],"الاجمالي",Collection_Summary_Tbl[Date To - الى],$A97))</f>
        <v/>
      </c>
      <c r="G97">
        <f>IF($A97&gt;TODAY(),"",SUMIFS(Sales_Tbl[Count - العدد],Sales_Tbl[Date - التاريخ],$A97))</f>
        <v/>
      </c>
      <c r="H97">
        <f>IF($A97&gt;TODAY(),"",SUMIFS(Sales_Tbl[Count - العدد],Sales_Tbl[Status - الحالة],"Accepted - تم التنفيذ",Sales_Tbl[Date - التاريخ],$A97))</f>
        <v/>
      </c>
      <c r="I97">
        <f>IF($A97&gt;TODAY(),"",SUMIFS(Customer_Care_Tbl[Active - نشط],Customer_Care_Tbl[Date - التاريخ],$A97))</f>
        <v/>
      </c>
      <c r="J97">
        <f>IF($A97&gt;TODAY(),"",SUMIFS(Customer_Care_Tbl[Close - مغلق],Customer_Care_Tbl[Date - التاريخ],$A97))</f>
        <v/>
      </c>
    </row>
    <row r="98">
      <c r="A98">
        <f>A97+1</f>
        <v/>
      </c>
      <c r="B98">
        <f>IF($A98&gt;TODAY(),"",IFERROR(INDEX(Credit_KPIs_Tbl[Total Financing Amount],MATCH($A98,Credit_KPIs_Tbl[Date - التاريخ],0)),""))</f>
        <v/>
      </c>
      <c r="C98">
        <f>IF($A98&gt;TODAY(),"",IFERROR(INDEX(Credit_KPIs_Tbl[Today Financing Amount],MATCH($A98,Credit_KPIs_Tbl[Date - التاريخ],0)),""))</f>
        <v/>
      </c>
      <c r="D98">
        <f>IF($A98&gt;TODAY(),"",IFERROR(INDEX(Credit_KPIs_Tbl[Total Number Contracts],MATCH($A98,Credit_KPIs_Tbl[Date - التاريخ],0)),""))</f>
        <v/>
      </c>
      <c r="E98">
        <f>IF($A98&gt;TODAY(),"",IFERROR(INDEX(Credit_KPIs_Tbl[Cancelled],MATCH($A98,Credit_KPIs_Tbl[Date - التاريخ],0)),""))</f>
        <v/>
      </c>
      <c r="F98">
        <f>IF($A98&gt;TODAY(),"",SUMIFS(Collection_Summary_Tbl[Amount - المبلغ],Collection_Summary_Tbl[Item - البند],"الاجمالي",Collection_Summary_Tbl[Date To - الى],$A98))</f>
        <v/>
      </c>
      <c r="G98">
        <f>IF($A98&gt;TODAY(),"",SUMIFS(Sales_Tbl[Count - العدد],Sales_Tbl[Date - التاريخ],$A98))</f>
        <v/>
      </c>
      <c r="H98">
        <f>IF($A98&gt;TODAY(),"",SUMIFS(Sales_Tbl[Count - العدد],Sales_Tbl[Status - الحالة],"Accepted - تم التنفيذ",Sales_Tbl[Date - التاريخ],$A98))</f>
        <v/>
      </c>
      <c r="I98">
        <f>IF($A98&gt;TODAY(),"",SUMIFS(Customer_Care_Tbl[Active - نشط],Customer_Care_Tbl[Date - التاريخ],$A98))</f>
        <v/>
      </c>
      <c r="J98">
        <f>IF($A98&gt;TODAY(),"",SUMIFS(Customer_Care_Tbl[Close - مغلق],Customer_Care_Tbl[Date - التاريخ],$A98))</f>
        <v/>
      </c>
    </row>
    <row r="99">
      <c r="A99">
        <f>A98+1</f>
        <v/>
      </c>
      <c r="B99">
        <f>IF($A99&gt;TODAY(),"",IFERROR(INDEX(Credit_KPIs_Tbl[Total Financing Amount],MATCH($A99,Credit_KPIs_Tbl[Date - التاريخ],0)),""))</f>
        <v/>
      </c>
      <c r="C99">
        <f>IF($A99&gt;TODAY(),"",IFERROR(INDEX(Credit_KPIs_Tbl[Today Financing Amount],MATCH($A99,Credit_KPIs_Tbl[Date - التاريخ],0)),""))</f>
        <v/>
      </c>
      <c r="D99">
        <f>IF($A99&gt;TODAY(),"",IFERROR(INDEX(Credit_KPIs_Tbl[Total Number Contracts],MATCH($A99,Credit_KPIs_Tbl[Date - التاريخ],0)),""))</f>
        <v/>
      </c>
      <c r="E99">
        <f>IF($A99&gt;TODAY(),"",IFERROR(INDEX(Credit_KPIs_Tbl[Cancelled],MATCH($A99,Credit_KPIs_Tbl[Date - التاريخ],0)),""))</f>
        <v/>
      </c>
      <c r="F99">
        <f>IF($A99&gt;TODAY(),"",SUMIFS(Collection_Summary_Tbl[Amount - المبلغ],Collection_Summary_Tbl[Item - البند],"الاجمالي",Collection_Summary_Tbl[Date To - الى],$A99))</f>
        <v/>
      </c>
      <c r="G99">
        <f>IF($A99&gt;TODAY(),"",SUMIFS(Sales_Tbl[Count - العدد],Sales_Tbl[Date - التاريخ],$A99))</f>
        <v/>
      </c>
      <c r="H99">
        <f>IF($A99&gt;TODAY(),"",SUMIFS(Sales_Tbl[Count - العدد],Sales_Tbl[Status - الحالة],"Accepted - تم التنفيذ",Sales_Tbl[Date - التاريخ],$A99))</f>
        <v/>
      </c>
      <c r="I99">
        <f>IF($A99&gt;TODAY(),"",SUMIFS(Customer_Care_Tbl[Active - نشط],Customer_Care_Tbl[Date - التاريخ],$A99))</f>
        <v/>
      </c>
      <c r="J99">
        <f>IF($A99&gt;TODAY(),"",SUMIFS(Customer_Care_Tbl[Close - مغلق],Customer_Care_Tbl[Date - التاريخ],$A99))</f>
        <v/>
      </c>
    </row>
    <row r="100">
      <c r="A100">
        <f>A99+1</f>
        <v/>
      </c>
      <c r="B100">
        <f>IF($A100&gt;TODAY(),"",IFERROR(INDEX(Credit_KPIs_Tbl[Total Financing Amount],MATCH($A100,Credit_KPIs_Tbl[Date - التاريخ],0)),""))</f>
        <v/>
      </c>
      <c r="C100">
        <f>IF($A100&gt;TODAY(),"",IFERROR(INDEX(Credit_KPIs_Tbl[Today Financing Amount],MATCH($A100,Credit_KPIs_Tbl[Date - التاريخ],0)),""))</f>
        <v/>
      </c>
      <c r="D100">
        <f>IF($A100&gt;TODAY(),"",IFERROR(INDEX(Credit_KPIs_Tbl[Total Number Contracts],MATCH($A100,Credit_KPIs_Tbl[Date - التاريخ],0)),""))</f>
        <v/>
      </c>
      <c r="E100">
        <f>IF($A100&gt;TODAY(),"",IFERROR(INDEX(Credit_KPIs_Tbl[Cancelled],MATCH($A100,Credit_KPIs_Tbl[Date - التاريخ],0)),""))</f>
        <v/>
      </c>
      <c r="F100">
        <f>IF($A100&gt;TODAY(),"",SUMIFS(Collection_Summary_Tbl[Amount - المبلغ],Collection_Summary_Tbl[Item - البند],"الاجمالي",Collection_Summary_Tbl[Date To - الى],$A100))</f>
        <v/>
      </c>
      <c r="G100">
        <f>IF($A100&gt;TODAY(),"",SUMIFS(Sales_Tbl[Count - العدد],Sales_Tbl[Date - التاريخ],$A100))</f>
        <v/>
      </c>
      <c r="H100">
        <f>IF($A100&gt;TODAY(),"",SUMIFS(Sales_Tbl[Count - العدد],Sales_Tbl[Status - الحالة],"Accepted - تم التنفيذ",Sales_Tbl[Date - التاريخ],$A100))</f>
        <v/>
      </c>
      <c r="I100">
        <f>IF($A100&gt;TODAY(),"",SUMIFS(Customer_Care_Tbl[Active - نشط],Customer_Care_Tbl[Date - التاريخ],$A100))</f>
        <v/>
      </c>
      <c r="J100">
        <f>IF($A100&gt;TODAY(),"",SUMIFS(Customer_Care_Tbl[Close - مغلق],Customer_Care_Tbl[Date - التاريخ],$A100))</f>
        <v/>
      </c>
    </row>
    <row r="101">
      <c r="A101">
        <f>A100+1</f>
        <v/>
      </c>
      <c r="B101">
        <f>IF($A101&gt;TODAY(),"",IFERROR(INDEX(Credit_KPIs_Tbl[Total Financing Amount],MATCH($A101,Credit_KPIs_Tbl[Date - التاريخ],0)),""))</f>
        <v/>
      </c>
      <c r="C101">
        <f>IF($A101&gt;TODAY(),"",IFERROR(INDEX(Credit_KPIs_Tbl[Today Financing Amount],MATCH($A101,Credit_KPIs_Tbl[Date - التاريخ],0)),""))</f>
        <v/>
      </c>
      <c r="D101">
        <f>IF($A101&gt;TODAY(),"",IFERROR(INDEX(Credit_KPIs_Tbl[Total Number Contracts],MATCH($A101,Credit_KPIs_Tbl[Date - التاريخ],0)),""))</f>
        <v/>
      </c>
      <c r="E101">
        <f>IF($A101&gt;TODAY(),"",IFERROR(INDEX(Credit_KPIs_Tbl[Cancelled],MATCH($A101,Credit_KPIs_Tbl[Date - التاريخ],0)),""))</f>
        <v/>
      </c>
      <c r="F101">
        <f>IF($A101&gt;TODAY(),"",SUMIFS(Collection_Summary_Tbl[Amount - المبلغ],Collection_Summary_Tbl[Item - البند],"الاجمالي",Collection_Summary_Tbl[Date To - الى],$A101))</f>
        <v/>
      </c>
      <c r="G101">
        <f>IF($A101&gt;TODAY(),"",SUMIFS(Sales_Tbl[Count - العدد],Sales_Tbl[Date - التاريخ],$A101))</f>
        <v/>
      </c>
      <c r="H101">
        <f>IF($A101&gt;TODAY(),"",SUMIFS(Sales_Tbl[Count - العدد],Sales_Tbl[Status - الحالة],"Accepted - تم التنفيذ",Sales_Tbl[Date - التاريخ],$A101))</f>
        <v/>
      </c>
      <c r="I101">
        <f>IF($A101&gt;TODAY(),"",SUMIFS(Customer_Care_Tbl[Active - نشط],Customer_Care_Tbl[Date - التاريخ],$A101))</f>
        <v/>
      </c>
      <c r="J101">
        <f>IF($A101&gt;TODAY(),"",SUMIFS(Customer_Care_Tbl[Close - مغلق],Customer_Care_Tbl[Date - التاريخ],$A101))</f>
        <v/>
      </c>
    </row>
    <row r="102">
      <c r="A102">
        <f>A101+1</f>
        <v/>
      </c>
      <c r="B102">
        <f>IF($A102&gt;TODAY(),"",IFERROR(INDEX(Credit_KPIs_Tbl[Total Financing Amount],MATCH($A102,Credit_KPIs_Tbl[Date - التاريخ],0)),""))</f>
        <v/>
      </c>
      <c r="C102">
        <f>IF($A102&gt;TODAY(),"",IFERROR(INDEX(Credit_KPIs_Tbl[Today Financing Amount],MATCH($A102,Credit_KPIs_Tbl[Date - التاريخ],0)),""))</f>
        <v/>
      </c>
      <c r="D102">
        <f>IF($A102&gt;TODAY(),"",IFERROR(INDEX(Credit_KPIs_Tbl[Total Number Contracts],MATCH($A102,Credit_KPIs_Tbl[Date - التاريخ],0)),""))</f>
        <v/>
      </c>
      <c r="E102">
        <f>IF($A102&gt;TODAY(),"",IFERROR(INDEX(Credit_KPIs_Tbl[Cancelled],MATCH($A102,Credit_KPIs_Tbl[Date - التاريخ],0)),""))</f>
        <v/>
      </c>
      <c r="F102">
        <f>IF($A102&gt;TODAY(),"",SUMIFS(Collection_Summary_Tbl[Amount - المبلغ],Collection_Summary_Tbl[Item - البند],"الاجمالي",Collection_Summary_Tbl[Date To - الى],$A102))</f>
        <v/>
      </c>
      <c r="G102">
        <f>IF($A102&gt;TODAY(),"",SUMIFS(Sales_Tbl[Count - العدد],Sales_Tbl[Date - التاريخ],$A102))</f>
        <v/>
      </c>
      <c r="H102">
        <f>IF($A102&gt;TODAY(),"",SUMIFS(Sales_Tbl[Count - العدد],Sales_Tbl[Status - الحالة],"Accepted - تم التنفيذ",Sales_Tbl[Date - التاريخ],$A102))</f>
        <v/>
      </c>
      <c r="I102">
        <f>IF($A102&gt;TODAY(),"",SUMIFS(Customer_Care_Tbl[Active - نشط],Customer_Care_Tbl[Date - التاريخ],$A102))</f>
        <v/>
      </c>
      <c r="J102">
        <f>IF($A102&gt;TODAY(),"",SUMIFS(Customer_Care_Tbl[Close - مغلق],Customer_Care_Tbl[Date - التاريخ],$A102))</f>
        <v/>
      </c>
    </row>
    <row r="103">
      <c r="A103">
        <f>A102+1</f>
        <v/>
      </c>
      <c r="B103">
        <f>IF($A103&gt;TODAY(),"",IFERROR(INDEX(Credit_KPIs_Tbl[Total Financing Amount],MATCH($A103,Credit_KPIs_Tbl[Date - التاريخ],0)),""))</f>
        <v/>
      </c>
      <c r="C103">
        <f>IF($A103&gt;TODAY(),"",IFERROR(INDEX(Credit_KPIs_Tbl[Today Financing Amount],MATCH($A103,Credit_KPIs_Tbl[Date - التاريخ],0)),""))</f>
        <v/>
      </c>
      <c r="D103">
        <f>IF($A103&gt;TODAY(),"",IFERROR(INDEX(Credit_KPIs_Tbl[Total Number Contracts],MATCH($A103,Credit_KPIs_Tbl[Date - التاريخ],0)),""))</f>
        <v/>
      </c>
      <c r="E103">
        <f>IF($A103&gt;TODAY(),"",IFERROR(INDEX(Credit_KPIs_Tbl[Cancelled],MATCH($A103,Credit_KPIs_Tbl[Date - التاريخ],0)),""))</f>
        <v/>
      </c>
      <c r="F103">
        <f>IF($A103&gt;TODAY(),"",SUMIFS(Collection_Summary_Tbl[Amount - المبلغ],Collection_Summary_Tbl[Item - البند],"الاجمالي",Collection_Summary_Tbl[Date To - الى],$A103))</f>
        <v/>
      </c>
      <c r="G103">
        <f>IF($A103&gt;TODAY(),"",SUMIFS(Sales_Tbl[Count - العدد],Sales_Tbl[Date - التاريخ],$A103))</f>
        <v/>
      </c>
      <c r="H103">
        <f>IF($A103&gt;TODAY(),"",SUMIFS(Sales_Tbl[Count - العدد],Sales_Tbl[Status - الحالة],"Accepted - تم التنفيذ",Sales_Tbl[Date - التاريخ],$A103))</f>
        <v/>
      </c>
      <c r="I103">
        <f>IF($A103&gt;TODAY(),"",SUMIFS(Customer_Care_Tbl[Active - نشط],Customer_Care_Tbl[Date - التاريخ],$A103))</f>
        <v/>
      </c>
      <c r="J103">
        <f>IF($A103&gt;TODAY(),"",SUMIFS(Customer_Care_Tbl[Close - مغلق],Customer_Care_Tbl[Date - التاريخ],$A103))</f>
        <v/>
      </c>
    </row>
    <row r="104">
      <c r="A104">
        <f>A103+1</f>
        <v/>
      </c>
      <c r="B104">
        <f>IF($A104&gt;TODAY(),"",IFERROR(INDEX(Credit_KPIs_Tbl[Total Financing Amount],MATCH($A104,Credit_KPIs_Tbl[Date - التاريخ],0)),""))</f>
        <v/>
      </c>
      <c r="C104">
        <f>IF($A104&gt;TODAY(),"",IFERROR(INDEX(Credit_KPIs_Tbl[Today Financing Amount],MATCH($A104,Credit_KPIs_Tbl[Date - التاريخ],0)),""))</f>
        <v/>
      </c>
      <c r="D104">
        <f>IF($A104&gt;TODAY(),"",IFERROR(INDEX(Credit_KPIs_Tbl[Total Number Contracts],MATCH($A104,Credit_KPIs_Tbl[Date - التاريخ],0)),""))</f>
        <v/>
      </c>
      <c r="E104">
        <f>IF($A104&gt;TODAY(),"",IFERROR(INDEX(Credit_KPIs_Tbl[Cancelled],MATCH($A104,Credit_KPIs_Tbl[Date - التاريخ],0)),""))</f>
        <v/>
      </c>
      <c r="F104">
        <f>IF($A104&gt;TODAY(),"",SUMIFS(Collection_Summary_Tbl[Amount - المبلغ],Collection_Summary_Tbl[Item - البند],"الاجمالي",Collection_Summary_Tbl[Date To - الى],$A104))</f>
        <v/>
      </c>
      <c r="G104">
        <f>IF($A104&gt;TODAY(),"",SUMIFS(Sales_Tbl[Count - العدد],Sales_Tbl[Date - التاريخ],$A104))</f>
        <v/>
      </c>
      <c r="H104">
        <f>IF($A104&gt;TODAY(),"",SUMIFS(Sales_Tbl[Count - العدد],Sales_Tbl[Status - الحالة],"Accepted - تم التنفيذ",Sales_Tbl[Date - التاريخ],$A104))</f>
        <v/>
      </c>
      <c r="I104">
        <f>IF($A104&gt;TODAY(),"",SUMIFS(Customer_Care_Tbl[Active - نشط],Customer_Care_Tbl[Date - التاريخ],$A104))</f>
        <v/>
      </c>
      <c r="J104">
        <f>IF($A104&gt;TODAY(),"",SUMIFS(Customer_Care_Tbl[Close - مغلق],Customer_Care_Tbl[Date - التاريخ],$A104))</f>
        <v/>
      </c>
    </row>
    <row r="105">
      <c r="A105">
        <f>A104+1</f>
        <v/>
      </c>
      <c r="B105">
        <f>IF($A105&gt;TODAY(),"",IFERROR(INDEX(Credit_KPIs_Tbl[Total Financing Amount],MATCH($A105,Credit_KPIs_Tbl[Date - التاريخ],0)),""))</f>
        <v/>
      </c>
      <c r="C105">
        <f>IF($A105&gt;TODAY(),"",IFERROR(INDEX(Credit_KPIs_Tbl[Today Financing Amount],MATCH($A105,Credit_KPIs_Tbl[Date - التاريخ],0)),""))</f>
        <v/>
      </c>
      <c r="D105">
        <f>IF($A105&gt;TODAY(),"",IFERROR(INDEX(Credit_KPIs_Tbl[Total Number Contracts],MATCH($A105,Credit_KPIs_Tbl[Date - التاريخ],0)),""))</f>
        <v/>
      </c>
      <c r="E105">
        <f>IF($A105&gt;TODAY(),"",IFERROR(INDEX(Credit_KPIs_Tbl[Cancelled],MATCH($A105,Credit_KPIs_Tbl[Date - التاريخ],0)),""))</f>
        <v/>
      </c>
      <c r="F105">
        <f>IF($A105&gt;TODAY(),"",SUMIFS(Collection_Summary_Tbl[Amount - المبلغ],Collection_Summary_Tbl[Item - البند],"الاجمالي",Collection_Summary_Tbl[Date To - الى],$A105))</f>
        <v/>
      </c>
      <c r="G105">
        <f>IF($A105&gt;TODAY(),"",SUMIFS(Sales_Tbl[Count - العدد],Sales_Tbl[Date - التاريخ],$A105))</f>
        <v/>
      </c>
      <c r="H105">
        <f>IF($A105&gt;TODAY(),"",SUMIFS(Sales_Tbl[Count - العدد],Sales_Tbl[Status - الحالة],"Accepted - تم التنفيذ",Sales_Tbl[Date - التاريخ],$A105))</f>
        <v/>
      </c>
      <c r="I105">
        <f>IF($A105&gt;TODAY(),"",SUMIFS(Customer_Care_Tbl[Active - نشط],Customer_Care_Tbl[Date - التاريخ],$A105))</f>
        <v/>
      </c>
      <c r="J105">
        <f>IF($A105&gt;TODAY(),"",SUMIFS(Customer_Care_Tbl[Close - مغلق],Customer_Care_Tbl[Date - التاريخ],$A105))</f>
        <v/>
      </c>
    </row>
    <row r="106">
      <c r="A106">
        <f>A105+1</f>
        <v/>
      </c>
      <c r="B106">
        <f>IF($A106&gt;TODAY(),"",IFERROR(INDEX(Credit_KPIs_Tbl[Total Financing Amount],MATCH($A106,Credit_KPIs_Tbl[Date - التاريخ],0)),""))</f>
        <v/>
      </c>
      <c r="C106">
        <f>IF($A106&gt;TODAY(),"",IFERROR(INDEX(Credit_KPIs_Tbl[Today Financing Amount],MATCH($A106,Credit_KPIs_Tbl[Date - التاريخ],0)),""))</f>
        <v/>
      </c>
      <c r="D106">
        <f>IF($A106&gt;TODAY(),"",IFERROR(INDEX(Credit_KPIs_Tbl[Total Number Contracts],MATCH($A106,Credit_KPIs_Tbl[Date - التاريخ],0)),""))</f>
        <v/>
      </c>
      <c r="E106">
        <f>IF($A106&gt;TODAY(),"",IFERROR(INDEX(Credit_KPIs_Tbl[Cancelled],MATCH($A106,Credit_KPIs_Tbl[Date - التاريخ],0)),""))</f>
        <v/>
      </c>
      <c r="F106">
        <f>IF($A106&gt;TODAY(),"",SUMIFS(Collection_Summary_Tbl[Amount - المبلغ],Collection_Summary_Tbl[Item - البند],"الاجمالي",Collection_Summary_Tbl[Date To - الى],$A106))</f>
        <v/>
      </c>
      <c r="G106">
        <f>IF($A106&gt;TODAY(),"",SUMIFS(Sales_Tbl[Count - العدد],Sales_Tbl[Date - التاريخ],$A106))</f>
        <v/>
      </c>
      <c r="H106">
        <f>IF($A106&gt;TODAY(),"",SUMIFS(Sales_Tbl[Count - العدد],Sales_Tbl[Status - الحالة],"Accepted - تم التنفيذ",Sales_Tbl[Date - التاريخ],$A106))</f>
        <v/>
      </c>
      <c r="I106">
        <f>IF($A106&gt;TODAY(),"",SUMIFS(Customer_Care_Tbl[Active - نشط],Customer_Care_Tbl[Date - التاريخ],$A106))</f>
        <v/>
      </c>
      <c r="J106">
        <f>IF($A106&gt;TODAY(),"",SUMIFS(Customer_Care_Tbl[Close - مغلق],Customer_Care_Tbl[Date - التاريخ],$A106))</f>
        <v/>
      </c>
    </row>
    <row r="107">
      <c r="A107">
        <f>A106+1</f>
        <v/>
      </c>
      <c r="B107">
        <f>IF($A107&gt;TODAY(),"",IFERROR(INDEX(Credit_KPIs_Tbl[Total Financing Amount],MATCH($A107,Credit_KPIs_Tbl[Date - التاريخ],0)),""))</f>
        <v/>
      </c>
      <c r="C107">
        <f>IF($A107&gt;TODAY(),"",IFERROR(INDEX(Credit_KPIs_Tbl[Today Financing Amount],MATCH($A107,Credit_KPIs_Tbl[Date - التاريخ],0)),""))</f>
        <v/>
      </c>
      <c r="D107">
        <f>IF($A107&gt;TODAY(),"",IFERROR(INDEX(Credit_KPIs_Tbl[Total Number Contracts],MATCH($A107,Credit_KPIs_Tbl[Date - التاريخ],0)),""))</f>
        <v/>
      </c>
      <c r="E107">
        <f>IF($A107&gt;TODAY(),"",IFERROR(INDEX(Credit_KPIs_Tbl[Cancelled],MATCH($A107,Credit_KPIs_Tbl[Date - التاريخ],0)),""))</f>
        <v/>
      </c>
      <c r="F107">
        <f>IF($A107&gt;TODAY(),"",SUMIFS(Collection_Summary_Tbl[Amount - المبلغ],Collection_Summary_Tbl[Item - البند],"الاجمالي",Collection_Summary_Tbl[Date To - الى],$A107))</f>
        <v/>
      </c>
      <c r="G107">
        <f>IF($A107&gt;TODAY(),"",SUMIFS(Sales_Tbl[Count - العدد],Sales_Tbl[Date - التاريخ],$A107))</f>
        <v/>
      </c>
      <c r="H107">
        <f>IF($A107&gt;TODAY(),"",SUMIFS(Sales_Tbl[Count - العدد],Sales_Tbl[Status - الحالة],"Accepted - تم التنفيذ",Sales_Tbl[Date - التاريخ],$A107))</f>
        <v/>
      </c>
      <c r="I107">
        <f>IF($A107&gt;TODAY(),"",SUMIFS(Customer_Care_Tbl[Active - نشط],Customer_Care_Tbl[Date - التاريخ],$A107))</f>
        <v/>
      </c>
      <c r="J107">
        <f>IF($A107&gt;TODAY(),"",SUMIFS(Customer_Care_Tbl[Close - مغلق],Customer_Care_Tbl[Date - التاريخ],$A107))</f>
        <v/>
      </c>
    </row>
    <row r="108">
      <c r="A108">
        <f>A107+1</f>
        <v/>
      </c>
      <c r="B108">
        <f>IF($A108&gt;TODAY(),"",IFERROR(INDEX(Credit_KPIs_Tbl[Total Financing Amount],MATCH($A108,Credit_KPIs_Tbl[Date - التاريخ],0)),""))</f>
        <v/>
      </c>
      <c r="C108">
        <f>IF($A108&gt;TODAY(),"",IFERROR(INDEX(Credit_KPIs_Tbl[Today Financing Amount],MATCH($A108,Credit_KPIs_Tbl[Date - التاريخ],0)),""))</f>
        <v/>
      </c>
      <c r="D108">
        <f>IF($A108&gt;TODAY(),"",IFERROR(INDEX(Credit_KPIs_Tbl[Total Number Contracts],MATCH($A108,Credit_KPIs_Tbl[Date - التاريخ],0)),""))</f>
        <v/>
      </c>
      <c r="E108">
        <f>IF($A108&gt;TODAY(),"",IFERROR(INDEX(Credit_KPIs_Tbl[Cancelled],MATCH($A108,Credit_KPIs_Tbl[Date - التاريخ],0)),""))</f>
        <v/>
      </c>
      <c r="F108">
        <f>IF($A108&gt;TODAY(),"",SUMIFS(Collection_Summary_Tbl[Amount - المبلغ],Collection_Summary_Tbl[Item - البند],"الاجمالي",Collection_Summary_Tbl[Date To - الى],$A108))</f>
        <v/>
      </c>
      <c r="G108">
        <f>IF($A108&gt;TODAY(),"",SUMIFS(Sales_Tbl[Count - العدد],Sales_Tbl[Date - التاريخ],$A108))</f>
        <v/>
      </c>
      <c r="H108">
        <f>IF($A108&gt;TODAY(),"",SUMIFS(Sales_Tbl[Count - العدد],Sales_Tbl[Status - الحالة],"Accepted - تم التنفيذ",Sales_Tbl[Date - التاريخ],$A108))</f>
        <v/>
      </c>
      <c r="I108">
        <f>IF($A108&gt;TODAY(),"",SUMIFS(Customer_Care_Tbl[Active - نشط],Customer_Care_Tbl[Date - التاريخ],$A108))</f>
        <v/>
      </c>
      <c r="J108">
        <f>IF($A108&gt;TODAY(),"",SUMIFS(Customer_Care_Tbl[Close - مغلق],Customer_Care_Tbl[Date - التاريخ],$A108))</f>
        <v/>
      </c>
    </row>
    <row r="109">
      <c r="A109">
        <f>A108+1</f>
        <v/>
      </c>
      <c r="B109">
        <f>IF($A109&gt;TODAY(),"",IFERROR(INDEX(Credit_KPIs_Tbl[Total Financing Amount],MATCH($A109,Credit_KPIs_Tbl[Date - التاريخ],0)),""))</f>
        <v/>
      </c>
      <c r="C109">
        <f>IF($A109&gt;TODAY(),"",IFERROR(INDEX(Credit_KPIs_Tbl[Today Financing Amount],MATCH($A109,Credit_KPIs_Tbl[Date - التاريخ],0)),""))</f>
        <v/>
      </c>
      <c r="D109">
        <f>IF($A109&gt;TODAY(),"",IFERROR(INDEX(Credit_KPIs_Tbl[Total Number Contracts],MATCH($A109,Credit_KPIs_Tbl[Date - التاريخ],0)),""))</f>
        <v/>
      </c>
      <c r="E109">
        <f>IF($A109&gt;TODAY(),"",IFERROR(INDEX(Credit_KPIs_Tbl[Cancelled],MATCH($A109,Credit_KPIs_Tbl[Date - التاريخ],0)),""))</f>
        <v/>
      </c>
      <c r="F109">
        <f>IF($A109&gt;TODAY(),"",SUMIFS(Collection_Summary_Tbl[Amount - المبلغ],Collection_Summary_Tbl[Item - البند],"الاجمالي",Collection_Summary_Tbl[Date To - الى],$A109))</f>
        <v/>
      </c>
      <c r="G109">
        <f>IF($A109&gt;TODAY(),"",SUMIFS(Sales_Tbl[Count - العدد],Sales_Tbl[Date - التاريخ],$A109))</f>
        <v/>
      </c>
      <c r="H109">
        <f>IF($A109&gt;TODAY(),"",SUMIFS(Sales_Tbl[Count - العدد],Sales_Tbl[Status - الحالة],"Accepted - تم التنفيذ",Sales_Tbl[Date - التاريخ],$A109))</f>
        <v/>
      </c>
      <c r="I109">
        <f>IF($A109&gt;TODAY(),"",SUMIFS(Customer_Care_Tbl[Active - نشط],Customer_Care_Tbl[Date - التاريخ],$A109))</f>
        <v/>
      </c>
      <c r="J109">
        <f>IF($A109&gt;TODAY(),"",SUMIFS(Customer_Care_Tbl[Close - مغلق],Customer_Care_Tbl[Date - التاريخ],$A109))</f>
        <v/>
      </c>
    </row>
    <row r="110">
      <c r="A110">
        <f>A109+1</f>
        <v/>
      </c>
      <c r="B110">
        <f>IF($A110&gt;TODAY(),"",IFERROR(INDEX(Credit_KPIs_Tbl[Total Financing Amount],MATCH($A110,Credit_KPIs_Tbl[Date - التاريخ],0)),""))</f>
        <v/>
      </c>
      <c r="C110">
        <f>IF($A110&gt;TODAY(),"",IFERROR(INDEX(Credit_KPIs_Tbl[Today Financing Amount],MATCH($A110,Credit_KPIs_Tbl[Date - التاريخ],0)),""))</f>
        <v/>
      </c>
      <c r="D110">
        <f>IF($A110&gt;TODAY(),"",IFERROR(INDEX(Credit_KPIs_Tbl[Total Number Contracts],MATCH($A110,Credit_KPIs_Tbl[Date - التاريخ],0)),""))</f>
        <v/>
      </c>
      <c r="E110">
        <f>IF($A110&gt;TODAY(),"",IFERROR(INDEX(Credit_KPIs_Tbl[Cancelled],MATCH($A110,Credit_KPIs_Tbl[Date - التاريخ],0)),""))</f>
        <v/>
      </c>
      <c r="F110">
        <f>IF($A110&gt;TODAY(),"",SUMIFS(Collection_Summary_Tbl[Amount - المبلغ],Collection_Summary_Tbl[Item - البند],"الاجمالي",Collection_Summary_Tbl[Date To - الى],$A110))</f>
        <v/>
      </c>
      <c r="G110">
        <f>IF($A110&gt;TODAY(),"",SUMIFS(Sales_Tbl[Count - العدد],Sales_Tbl[Date - التاريخ],$A110))</f>
        <v/>
      </c>
      <c r="H110">
        <f>IF($A110&gt;TODAY(),"",SUMIFS(Sales_Tbl[Count - العدد],Sales_Tbl[Status - الحالة],"Accepted - تم التنفيذ",Sales_Tbl[Date - التاريخ],$A110))</f>
        <v/>
      </c>
      <c r="I110">
        <f>IF($A110&gt;TODAY(),"",SUMIFS(Customer_Care_Tbl[Active - نشط],Customer_Care_Tbl[Date - التاريخ],$A110))</f>
        <v/>
      </c>
      <c r="J110">
        <f>IF($A110&gt;TODAY(),"",SUMIFS(Customer_Care_Tbl[Close - مغلق],Customer_Care_Tbl[Date - التاريخ],$A110))</f>
        <v/>
      </c>
    </row>
    <row r="111">
      <c r="A111">
        <f>A110+1</f>
        <v/>
      </c>
      <c r="B111">
        <f>IF($A111&gt;TODAY(),"",IFERROR(INDEX(Credit_KPIs_Tbl[Total Financing Amount],MATCH($A111,Credit_KPIs_Tbl[Date - التاريخ],0)),""))</f>
        <v/>
      </c>
      <c r="C111">
        <f>IF($A111&gt;TODAY(),"",IFERROR(INDEX(Credit_KPIs_Tbl[Today Financing Amount],MATCH($A111,Credit_KPIs_Tbl[Date - التاريخ],0)),""))</f>
        <v/>
      </c>
      <c r="D111">
        <f>IF($A111&gt;TODAY(),"",IFERROR(INDEX(Credit_KPIs_Tbl[Total Number Contracts],MATCH($A111,Credit_KPIs_Tbl[Date - التاريخ],0)),""))</f>
        <v/>
      </c>
      <c r="E111">
        <f>IF($A111&gt;TODAY(),"",IFERROR(INDEX(Credit_KPIs_Tbl[Cancelled],MATCH($A111,Credit_KPIs_Tbl[Date - التاريخ],0)),""))</f>
        <v/>
      </c>
      <c r="F111">
        <f>IF($A111&gt;TODAY(),"",SUMIFS(Collection_Summary_Tbl[Amount - المبلغ],Collection_Summary_Tbl[Item - البند],"الاجمالي",Collection_Summary_Tbl[Date To - الى],$A111))</f>
        <v/>
      </c>
      <c r="G111">
        <f>IF($A111&gt;TODAY(),"",SUMIFS(Sales_Tbl[Count - العدد],Sales_Tbl[Date - التاريخ],$A111))</f>
        <v/>
      </c>
      <c r="H111">
        <f>IF($A111&gt;TODAY(),"",SUMIFS(Sales_Tbl[Count - العدد],Sales_Tbl[Status - الحالة],"Accepted - تم التنفيذ",Sales_Tbl[Date - التاريخ],$A111))</f>
        <v/>
      </c>
      <c r="I111">
        <f>IF($A111&gt;TODAY(),"",SUMIFS(Customer_Care_Tbl[Active - نشط],Customer_Care_Tbl[Date - التاريخ],$A111))</f>
        <v/>
      </c>
      <c r="J111">
        <f>IF($A111&gt;TODAY(),"",SUMIFS(Customer_Care_Tbl[Close - مغلق],Customer_Care_Tbl[Date - التاريخ],$A111))</f>
        <v/>
      </c>
    </row>
    <row r="112">
      <c r="A112">
        <f>A111+1</f>
        <v/>
      </c>
      <c r="B112">
        <f>IF($A112&gt;TODAY(),"",IFERROR(INDEX(Credit_KPIs_Tbl[Total Financing Amount],MATCH($A112,Credit_KPIs_Tbl[Date - التاريخ],0)),""))</f>
        <v/>
      </c>
      <c r="C112">
        <f>IF($A112&gt;TODAY(),"",IFERROR(INDEX(Credit_KPIs_Tbl[Today Financing Amount],MATCH($A112,Credit_KPIs_Tbl[Date - التاريخ],0)),""))</f>
        <v/>
      </c>
      <c r="D112">
        <f>IF($A112&gt;TODAY(),"",IFERROR(INDEX(Credit_KPIs_Tbl[Total Number Contracts],MATCH($A112,Credit_KPIs_Tbl[Date - التاريخ],0)),""))</f>
        <v/>
      </c>
      <c r="E112">
        <f>IF($A112&gt;TODAY(),"",IFERROR(INDEX(Credit_KPIs_Tbl[Cancelled],MATCH($A112,Credit_KPIs_Tbl[Date - التاريخ],0)),""))</f>
        <v/>
      </c>
      <c r="F112">
        <f>IF($A112&gt;TODAY(),"",SUMIFS(Collection_Summary_Tbl[Amount - المبلغ],Collection_Summary_Tbl[Item - البند],"الاجمالي",Collection_Summary_Tbl[Date To - الى],$A112))</f>
        <v/>
      </c>
      <c r="G112">
        <f>IF($A112&gt;TODAY(),"",SUMIFS(Sales_Tbl[Count - العدد],Sales_Tbl[Date - التاريخ],$A112))</f>
        <v/>
      </c>
      <c r="H112">
        <f>IF($A112&gt;TODAY(),"",SUMIFS(Sales_Tbl[Count - العدد],Sales_Tbl[Status - الحالة],"Accepted - تم التنفيذ",Sales_Tbl[Date - التاريخ],$A112))</f>
        <v/>
      </c>
      <c r="I112">
        <f>IF($A112&gt;TODAY(),"",SUMIFS(Customer_Care_Tbl[Active - نشط],Customer_Care_Tbl[Date - التاريخ],$A112))</f>
        <v/>
      </c>
      <c r="J112">
        <f>IF($A112&gt;TODAY(),"",SUMIFS(Customer_Care_Tbl[Close - مغلق],Customer_Care_Tbl[Date - التاريخ],$A112))</f>
        <v/>
      </c>
    </row>
    <row r="113">
      <c r="A113">
        <f>A112+1</f>
        <v/>
      </c>
      <c r="B113">
        <f>IF($A113&gt;TODAY(),"",IFERROR(INDEX(Credit_KPIs_Tbl[Total Financing Amount],MATCH($A113,Credit_KPIs_Tbl[Date - التاريخ],0)),""))</f>
        <v/>
      </c>
      <c r="C113">
        <f>IF($A113&gt;TODAY(),"",IFERROR(INDEX(Credit_KPIs_Tbl[Today Financing Amount],MATCH($A113,Credit_KPIs_Tbl[Date - التاريخ],0)),""))</f>
        <v/>
      </c>
      <c r="D113">
        <f>IF($A113&gt;TODAY(),"",IFERROR(INDEX(Credit_KPIs_Tbl[Total Number Contracts],MATCH($A113,Credit_KPIs_Tbl[Date - التاريخ],0)),""))</f>
        <v/>
      </c>
      <c r="E113">
        <f>IF($A113&gt;TODAY(),"",IFERROR(INDEX(Credit_KPIs_Tbl[Cancelled],MATCH($A113,Credit_KPIs_Tbl[Date - التاريخ],0)),""))</f>
        <v/>
      </c>
      <c r="F113">
        <f>IF($A113&gt;TODAY(),"",SUMIFS(Collection_Summary_Tbl[Amount - المبلغ],Collection_Summary_Tbl[Item - البند],"الاجمالي",Collection_Summary_Tbl[Date To - الى],$A113))</f>
        <v/>
      </c>
      <c r="G113">
        <f>IF($A113&gt;TODAY(),"",SUMIFS(Sales_Tbl[Count - العدد],Sales_Tbl[Date - التاريخ],$A113))</f>
        <v/>
      </c>
      <c r="H113">
        <f>IF($A113&gt;TODAY(),"",SUMIFS(Sales_Tbl[Count - العدد],Sales_Tbl[Status - الحالة],"Accepted - تم التنفيذ",Sales_Tbl[Date - التاريخ],$A113))</f>
        <v/>
      </c>
      <c r="I113">
        <f>IF($A113&gt;TODAY(),"",SUMIFS(Customer_Care_Tbl[Active - نشط],Customer_Care_Tbl[Date - التاريخ],$A113))</f>
        <v/>
      </c>
      <c r="J113">
        <f>IF($A113&gt;TODAY(),"",SUMIFS(Customer_Care_Tbl[Close - مغلق],Customer_Care_Tbl[Date - التاريخ],$A113))</f>
        <v/>
      </c>
    </row>
    <row r="114">
      <c r="A114">
        <f>A113+1</f>
        <v/>
      </c>
      <c r="B114">
        <f>IF($A114&gt;TODAY(),"",IFERROR(INDEX(Credit_KPIs_Tbl[Total Financing Amount],MATCH($A114,Credit_KPIs_Tbl[Date - التاريخ],0)),""))</f>
        <v/>
      </c>
      <c r="C114">
        <f>IF($A114&gt;TODAY(),"",IFERROR(INDEX(Credit_KPIs_Tbl[Today Financing Amount],MATCH($A114,Credit_KPIs_Tbl[Date - التاريخ],0)),""))</f>
        <v/>
      </c>
      <c r="D114">
        <f>IF($A114&gt;TODAY(),"",IFERROR(INDEX(Credit_KPIs_Tbl[Total Number Contracts],MATCH($A114,Credit_KPIs_Tbl[Date - التاريخ],0)),""))</f>
        <v/>
      </c>
      <c r="E114">
        <f>IF($A114&gt;TODAY(),"",IFERROR(INDEX(Credit_KPIs_Tbl[Cancelled],MATCH($A114,Credit_KPIs_Tbl[Date - التاريخ],0)),""))</f>
        <v/>
      </c>
      <c r="F114">
        <f>IF($A114&gt;TODAY(),"",SUMIFS(Collection_Summary_Tbl[Amount - المبلغ],Collection_Summary_Tbl[Item - البند],"الاجمالي",Collection_Summary_Tbl[Date To - الى],$A114))</f>
        <v/>
      </c>
      <c r="G114">
        <f>IF($A114&gt;TODAY(),"",SUMIFS(Sales_Tbl[Count - العدد],Sales_Tbl[Date - التاريخ],$A114))</f>
        <v/>
      </c>
      <c r="H114">
        <f>IF($A114&gt;TODAY(),"",SUMIFS(Sales_Tbl[Count - العدد],Sales_Tbl[Status - الحالة],"Accepted - تم التنفيذ",Sales_Tbl[Date - التاريخ],$A114))</f>
        <v/>
      </c>
      <c r="I114">
        <f>IF($A114&gt;TODAY(),"",SUMIFS(Customer_Care_Tbl[Active - نشط],Customer_Care_Tbl[Date - التاريخ],$A114))</f>
        <v/>
      </c>
      <c r="J114">
        <f>IF($A114&gt;TODAY(),"",SUMIFS(Customer_Care_Tbl[Close - مغلق],Customer_Care_Tbl[Date - التاريخ],$A114))</f>
        <v/>
      </c>
    </row>
    <row r="115">
      <c r="A115">
        <f>A114+1</f>
        <v/>
      </c>
      <c r="B115">
        <f>IF($A115&gt;TODAY(),"",IFERROR(INDEX(Credit_KPIs_Tbl[Total Financing Amount],MATCH($A115,Credit_KPIs_Tbl[Date - التاريخ],0)),""))</f>
        <v/>
      </c>
      <c r="C115">
        <f>IF($A115&gt;TODAY(),"",IFERROR(INDEX(Credit_KPIs_Tbl[Today Financing Amount],MATCH($A115,Credit_KPIs_Tbl[Date - التاريخ],0)),""))</f>
        <v/>
      </c>
      <c r="D115">
        <f>IF($A115&gt;TODAY(),"",IFERROR(INDEX(Credit_KPIs_Tbl[Total Number Contracts],MATCH($A115,Credit_KPIs_Tbl[Date - التاريخ],0)),""))</f>
        <v/>
      </c>
      <c r="E115">
        <f>IF($A115&gt;TODAY(),"",IFERROR(INDEX(Credit_KPIs_Tbl[Cancelled],MATCH($A115,Credit_KPIs_Tbl[Date - التاريخ],0)),""))</f>
        <v/>
      </c>
      <c r="F115">
        <f>IF($A115&gt;TODAY(),"",SUMIFS(Collection_Summary_Tbl[Amount - المبلغ],Collection_Summary_Tbl[Item - البند],"الاجمالي",Collection_Summary_Tbl[Date To - الى],$A115))</f>
        <v/>
      </c>
      <c r="G115">
        <f>IF($A115&gt;TODAY(),"",SUMIFS(Sales_Tbl[Count - العدد],Sales_Tbl[Date - التاريخ],$A115))</f>
        <v/>
      </c>
      <c r="H115">
        <f>IF($A115&gt;TODAY(),"",SUMIFS(Sales_Tbl[Count - العدد],Sales_Tbl[Status - الحالة],"Accepted - تم التنفيذ",Sales_Tbl[Date - التاريخ],$A115))</f>
        <v/>
      </c>
      <c r="I115">
        <f>IF($A115&gt;TODAY(),"",SUMIFS(Customer_Care_Tbl[Active - نشط],Customer_Care_Tbl[Date - التاريخ],$A115))</f>
        <v/>
      </c>
      <c r="J115">
        <f>IF($A115&gt;TODAY(),"",SUMIFS(Customer_Care_Tbl[Close - مغلق],Customer_Care_Tbl[Date - التاريخ],$A115))</f>
        <v/>
      </c>
    </row>
    <row r="116">
      <c r="A116">
        <f>A115+1</f>
        <v/>
      </c>
      <c r="B116">
        <f>IF($A116&gt;TODAY(),"",IFERROR(INDEX(Credit_KPIs_Tbl[Total Financing Amount],MATCH($A116,Credit_KPIs_Tbl[Date - التاريخ],0)),""))</f>
        <v/>
      </c>
      <c r="C116">
        <f>IF($A116&gt;TODAY(),"",IFERROR(INDEX(Credit_KPIs_Tbl[Today Financing Amount],MATCH($A116,Credit_KPIs_Tbl[Date - التاريخ],0)),""))</f>
        <v/>
      </c>
      <c r="D116">
        <f>IF($A116&gt;TODAY(),"",IFERROR(INDEX(Credit_KPIs_Tbl[Total Number Contracts],MATCH($A116,Credit_KPIs_Tbl[Date - التاريخ],0)),""))</f>
        <v/>
      </c>
      <c r="E116">
        <f>IF($A116&gt;TODAY(),"",IFERROR(INDEX(Credit_KPIs_Tbl[Cancelled],MATCH($A116,Credit_KPIs_Tbl[Date - التاريخ],0)),""))</f>
        <v/>
      </c>
      <c r="F116">
        <f>IF($A116&gt;TODAY(),"",SUMIFS(Collection_Summary_Tbl[Amount - المبلغ],Collection_Summary_Tbl[Item - البند],"الاجمالي",Collection_Summary_Tbl[Date To - الى],$A116))</f>
        <v/>
      </c>
      <c r="G116">
        <f>IF($A116&gt;TODAY(),"",SUMIFS(Sales_Tbl[Count - العدد],Sales_Tbl[Date - التاريخ],$A116))</f>
        <v/>
      </c>
      <c r="H116">
        <f>IF($A116&gt;TODAY(),"",SUMIFS(Sales_Tbl[Count - العدد],Sales_Tbl[Status - الحالة],"Accepted - تم التنفيذ",Sales_Tbl[Date - التاريخ],$A116))</f>
        <v/>
      </c>
      <c r="I116">
        <f>IF($A116&gt;TODAY(),"",SUMIFS(Customer_Care_Tbl[Active - نشط],Customer_Care_Tbl[Date - التاريخ],$A116))</f>
        <v/>
      </c>
      <c r="J116">
        <f>IF($A116&gt;TODAY(),"",SUMIFS(Customer_Care_Tbl[Close - مغلق],Customer_Care_Tbl[Date - التاريخ],$A116))</f>
        <v/>
      </c>
    </row>
    <row r="117">
      <c r="A117">
        <f>A116+1</f>
        <v/>
      </c>
      <c r="B117">
        <f>IF($A117&gt;TODAY(),"",IFERROR(INDEX(Credit_KPIs_Tbl[Total Financing Amount],MATCH($A117,Credit_KPIs_Tbl[Date - التاريخ],0)),""))</f>
        <v/>
      </c>
      <c r="C117">
        <f>IF($A117&gt;TODAY(),"",IFERROR(INDEX(Credit_KPIs_Tbl[Today Financing Amount],MATCH($A117,Credit_KPIs_Tbl[Date - التاريخ],0)),""))</f>
        <v/>
      </c>
      <c r="D117">
        <f>IF($A117&gt;TODAY(),"",IFERROR(INDEX(Credit_KPIs_Tbl[Total Number Contracts],MATCH($A117,Credit_KPIs_Tbl[Date - التاريخ],0)),""))</f>
        <v/>
      </c>
      <c r="E117">
        <f>IF($A117&gt;TODAY(),"",IFERROR(INDEX(Credit_KPIs_Tbl[Cancelled],MATCH($A117,Credit_KPIs_Tbl[Date - التاريخ],0)),""))</f>
        <v/>
      </c>
      <c r="F117">
        <f>IF($A117&gt;TODAY(),"",SUMIFS(Collection_Summary_Tbl[Amount - المبلغ],Collection_Summary_Tbl[Item - البند],"الاجمالي",Collection_Summary_Tbl[Date To - الى],$A117))</f>
        <v/>
      </c>
      <c r="G117">
        <f>IF($A117&gt;TODAY(),"",SUMIFS(Sales_Tbl[Count - العدد],Sales_Tbl[Date - التاريخ],$A117))</f>
        <v/>
      </c>
      <c r="H117">
        <f>IF($A117&gt;TODAY(),"",SUMIFS(Sales_Tbl[Count - العدد],Sales_Tbl[Status - الحالة],"Accepted - تم التنفيذ",Sales_Tbl[Date - التاريخ],$A117))</f>
        <v/>
      </c>
      <c r="I117">
        <f>IF($A117&gt;TODAY(),"",SUMIFS(Customer_Care_Tbl[Active - نشط],Customer_Care_Tbl[Date - التاريخ],$A117))</f>
        <v/>
      </c>
      <c r="J117">
        <f>IF($A117&gt;TODAY(),"",SUMIFS(Customer_Care_Tbl[Close - مغلق],Customer_Care_Tbl[Date - التاريخ],$A117))</f>
        <v/>
      </c>
    </row>
    <row r="118">
      <c r="A118">
        <f>A117+1</f>
        <v/>
      </c>
      <c r="B118">
        <f>IF($A118&gt;TODAY(),"",IFERROR(INDEX(Credit_KPIs_Tbl[Total Financing Amount],MATCH($A118,Credit_KPIs_Tbl[Date - التاريخ],0)),""))</f>
        <v/>
      </c>
      <c r="C118">
        <f>IF($A118&gt;TODAY(),"",IFERROR(INDEX(Credit_KPIs_Tbl[Today Financing Amount],MATCH($A118,Credit_KPIs_Tbl[Date - التاريخ],0)),""))</f>
        <v/>
      </c>
      <c r="D118">
        <f>IF($A118&gt;TODAY(),"",IFERROR(INDEX(Credit_KPIs_Tbl[Total Number Contracts],MATCH($A118,Credit_KPIs_Tbl[Date - التاريخ],0)),""))</f>
        <v/>
      </c>
      <c r="E118">
        <f>IF($A118&gt;TODAY(),"",IFERROR(INDEX(Credit_KPIs_Tbl[Cancelled],MATCH($A118,Credit_KPIs_Tbl[Date - التاريخ],0)),""))</f>
        <v/>
      </c>
      <c r="F118">
        <f>IF($A118&gt;TODAY(),"",SUMIFS(Collection_Summary_Tbl[Amount - المبلغ],Collection_Summary_Tbl[Item - البند],"الاجمالي",Collection_Summary_Tbl[Date To - الى],$A118))</f>
        <v/>
      </c>
      <c r="G118">
        <f>IF($A118&gt;TODAY(),"",SUMIFS(Sales_Tbl[Count - العدد],Sales_Tbl[Date - التاريخ],$A118))</f>
        <v/>
      </c>
      <c r="H118">
        <f>IF($A118&gt;TODAY(),"",SUMIFS(Sales_Tbl[Count - العدد],Sales_Tbl[Status - الحالة],"Accepted - تم التنفيذ",Sales_Tbl[Date - التاريخ],$A118))</f>
        <v/>
      </c>
      <c r="I118">
        <f>IF($A118&gt;TODAY(),"",SUMIFS(Customer_Care_Tbl[Active - نشط],Customer_Care_Tbl[Date - التاريخ],$A118))</f>
        <v/>
      </c>
      <c r="J118">
        <f>IF($A118&gt;TODAY(),"",SUMIFS(Customer_Care_Tbl[Close - مغلق],Customer_Care_Tbl[Date - التاريخ],$A118))</f>
        <v/>
      </c>
    </row>
    <row r="119">
      <c r="A119">
        <f>A118+1</f>
        <v/>
      </c>
      <c r="B119">
        <f>IF($A119&gt;TODAY(),"",IFERROR(INDEX(Credit_KPIs_Tbl[Total Financing Amount],MATCH($A119,Credit_KPIs_Tbl[Date - التاريخ],0)),""))</f>
        <v/>
      </c>
      <c r="C119">
        <f>IF($A119&gt;TODAY(),"",IFERROR(INDEX(Credit_KPIs_Tbl[Today Financing Amount],MATCH($A119,Credit_KPIs_Tbl[Date - التاريخ],0)),""))</f>
        <v/>
      </c>
      <c r="D119">
        <f>IF($A119&gt;TODAY(),"",IFERROR(INDEX(Credit_KPIs_Tbl[Total Number Contracts],MATCH($A119,Credit_KPIs_Tbl[Date - التاريخ],0)),""))</f>
        <v/>
      </c>
      <c r="E119">
        <f>IF($A119&gt;TODAY(),"",IFERROR(INDEX(Credit_KPIs_Tbl[Cancelled],MATCH($A119,Credit_KPIs_Tbl[Date - التاريخ],0)),""))</f>
        <v/>
      </c>
      <c r="F119">
        <f>IF($A119&gt;TODAY(),"",SUMIFS(Collection_Summary_Tbl[Amount - المبلغ],Collection_Summary_Tbl[Item - البند],"الاجمالي",Collection_Summary_Tbl[Date To - الى],$A119))</f>
        <v/>
      </c>
      <c r="G119">
        <f>IF($A119&gt;TODAY(),"",SUMIFS(Sales_Tbl[Count - العدد],Sales_Tbl[Date - التاريخ],$A119))</f>
        <v/>
      </c>
      <c r="H119">
        <f>IF($A119&gt;TODAY(),"",SUMIFS(Sales_Tbl[Count - العدد],Sales_Tbl[Status - الحالة],"Accepted - تم التنفيذ",Sales_Tbl[Date - التاريخ],$A119))</f>
        <v/>
      </c>
      <c r="I119">
        <f>IF($A119&gt;TODAY(),"",SUMIFS(Customer_Care_Tbl[Active - نشط],Customer_Care_Tbl[Date - التاريخ],$A119))</f>
        <v/>
      </c>
      <c r="J119">
        <f>IF($A119&gt;TODAY(),"",SUMIFS(Customer_Care_Tbl[Close - مغلق],Customer_Care_Tbl[Date - التاريخ],$A119))</f>
        <v/>
      </c>
    </row>
    <row r="120">
      <c r="A120">
        <f>A119+1</f>
        <v/>
      </c>
      <c r="B120">
        <f>IF($A120&gt;TODAY(),"",IFERROR(INDEX(Credit_KPIs_Tbl[Total Financing Amount],MATCH($A120,Credit_KPIs_Tbl[Date - التاريخ],0)),""))</f>
        <v/>
      </c>
      <c r="C120">
        <f>IF($A120&gt;TODAY(),"",IFERROR(INDEX(Credit_KPIs_Tbl[Today Financing Amount],MATCH($A120,Credit_KPIs_Tbl[Date - التاريخ],0)),""))</f>
        <v/>
      </c>
      <c r="D120">
        <f>IF($A120&gt;TODAY(),"",IFERROR(INDEX(Credit_KPIs_Tbl[Total Number Contracts],MATCH($A120,Credit_KPIs_Tbl[Date - التاريخ],0)),""))</f>
        <v/>
      </c>
      <c r="E120">
        <f>IF($A120&gt;TODAY(),"",IFERROR(INDEX(Credit_KPIs_Tbl[Cancelled],MATCH($A120,Credit_KPIs_Tbl[Date - التاريخ],0)),""))</f>
        <v/>
      </c>
      <c r="F120">
        <f>IF($A120&gt;TODAY(),"",SUMIFS(Collection_Summary_Tbl[Amount - المبلغ],Collection_Summary_Tbl[Item - البند],"الاجمالي",Collection_Summary_Tbl[Date To - الى],$A120))</f>
        <v/>
      </c>
      <c r="G120">
        <f>IF($A120&gt;TODAY(),"",SUMIFS(Sales_Tbl[Count - العدد],Sales_Tbl[Date - التاريخ],$A120))</f>
        <v/>
      </c>
      <c r="H120">
        <f>IF($A120&gt;TODAY(),"",SUMIFS(Sales_Tbl[Count - العدد],Sales_Tbl[Status - الحالة],"Accepted - تم التنفيذ",Sales_Tbl[Date - التاريخ],$A120))</f>
        <v/>
      </c>
      <c r="I120">
        <f>IF($A120&gt;TODAY(),"",SUMIFS(Customer_Care_Tbl[Active - نشط],Customer_Care_Tbl[Date - التاريخ],$A120))</f>
        <v/>
      </c>
      <c r="J120">
        <f>IF($A120&gt;TODAY(),"",SUMIFS(Customer_Care_Tbl[Close - مغلق],Customer_Care_Tbl[Date - التاريخ],$A120))</f>
        <v/>
      </c>
    </row>
    <row r="121">
      <c r="A121">
        <f>A120+1</f>
        <v/>
      </c>
      <c r="B121">
        <f>IF($A121&gt;TODAY(),"",IFERROR(INDEX(Credit_KPIs_Tbl[Total Financing Amount],MATCH($A121,Credit_KPIs_Tbl[Date - التاريخ],0)),""))</f>
        <v/>
      </c>
      <c r="C121">
        <f>IF($A121&gt;TODAY(),"",IFERROR(INDEX(Credit_KPIs_Tbl[Today Financing Amount],MATCH($A121,Credit_KPIs_Tbl[Date - التاريخ],0)),""))</f>
        <v/>
      </c>
      <c r="D121">
        <f>IF($A121&gt;TODAY(),"",IFERROR(INDEX(Credit_KPIs_Tbl[Total Number Contracts],MATCH($A121,Credit_KPIs_Tbl[Date - التاريخ],0)),""))</f>
        <v/>
      </c>
      <c r="E121">
        <f>IF($A121&gt;TODAY(),"",IFERROR(INDEX(Credit_KPIs_Tbl[Cancelled],MATCH($A121,Credit_KPIs_Tbl[Date - التاريخ],0)),""))</f>
        <v/>
      </c>
      <c r="F121">
        <f>IF($A121&gt;TODAY(),"",SUMIFS(Collection_Summary_Tbl[Amount - المبلغ],Collection_Summary_Tbl[Item - البند],"الاجمالي",Collection_Summary_Tbl[Date To - الى],$A121))</f>
        <v/>
      </c>
      <c r="G121">
        <f>IF($A121&gt;TODAY(),"",SUMIFS(Sales_Tbl[Count - العدد],Sales_Tbl[Date - التاريخ],$A121))</f>
        <v/>
      </c>
      <c r="H121">
        <f>IF($A121&gt;TODAY(),"",SUMIFS(Sales_Tbl[Count - العدد],Sales_Tbl[Status - الحالة],"Accepted - تم التنفيذ",Sales_Tbl[Date - التاريخ],$A121))</f>
        <v/>
      </c>
      <c r="I121">
        <f>IF($A121&gt;TODAY(),"",SUMIFS(Customer_Care_Tbl[Active - نشط],Customer_Care_Tbl[Date - التاريخ],$A121))</f>
        <v/>
      </c>
      <c r="J121">
        <f>IF($A121&gt;TODAY(),"",SUMIFS(Customer_Care_Tbl[Close - مغلق],Customer_Care_Tbl[Date - التاريخ],$A121))</f>
        <v/>
      </c>
    </row>
    <row r="122">
      <c r="A122">
        <f>A121+1</f>
        <v/>
      </c>
      <c r="B122">
        <f>IF($A122&gt;TODAY(),"",IFERROR(INDEX(Credit_KPIs_Tbl[Total Financing Amount],MATCH($A122,Credit_KPIs_Tbl[Date - التاريخ],0)),""))</f>
        <v/>
      </c>
      <c r="C122">
        <f>IF($A122&gt;TODAY(),"",IFERROR(INDEX(Credit_KPIs_Tbl[Today Financing Amount],MATCH($A122,Credit_KPIs_Tbl[Date - التاريخ],0)),""))</f>
        <v/>
      </c>
      <c r="D122">
        <f>IF($A122&gt;TODAY(),"",IFERROR(INDEX(Credit_KPIs_Tbl[Total Number Contracts],MATCH($A122,Credit_KPIs_Tbl[Date - التاريخ],0)),""))</f>
        <v/>
      </c>
      <c r="E122">
        <f>IF($A122&gt;TODAY(),"",IFERROR(INDEX(Credit_KPIs_Tbl[Cancelled],MATCH($A122,Credit_KPIs_Tbl[Date - التاريخ],0)),""))</f>
        <v/>
      </c>
      <c r="F122">
        <f>IF($A122&gt;TODAY(),"",SUMIFS(Collection_Summary_Tbl[Amount - المبلغ],Collection_Summary_Tbl[Item - البند],"الاجمالي",Collection_Summary_Tbl[Date To - الى],$A122))</f>
        <v/>
      </c>
      <c r="G122">
        <f>IF($A122&gt;TODAY(),"",SUMIFS(Sales_Tbl[Count - العدد],Sales_Tbl[Date - التاريخ],$A122))</f>
        <v/>
      </c>
      <c r="H122">
        <f>IF($A122&gt;TODAY(),"",SUMIFS(Sales_Tbl[Count - العدد],Sales_Tbl[Status - الحالة],"Accepted - تم التنفيذ",Sales_Tbl[Date - التاريخ],$A122))</f>
        <v/>
      </c>
      <c r="I122">
        <f>IF($A122&gt;TODAY(),"",SUMIFS(Customer_Care_Tbl[Active - نشط],Customer_Care_Tbl[Date - التاريخ],$A122))</f>
        <v/>
      </c>
      <c r="J122">
        <f>IF($A122&gt;TODAY(),"",SUMIFS(Customer_Care_Tbl[Close - مغلق],Customer_Care_Tbl[Date - التاريخ],$A122))</f>
        <v/>
      </c>
    </row>
    <row r="123">
      <c r="A123">
        <f>A122+1</f>
        <v/>
      </c>
      <c r="B123">
        <f>IF($A123&gt;TODAY(),"",IFERROR(INDEX(Credit_KPIs_Tbl[Total Financing Amount],MATCH($A123,Credit_KPIs_Tbl[Date - التاريخ],0)),""))</f>
        <v/>
      </c>
      <c r="C123">
        <f>IF($A123&gt;TODAY(),"",IFERROR(INDEX(Credit_KPIs_Tbl[Today Financing Amount],MATCH($A123,Credit_KPIs_Tbl[Date - التاريخ],0)),""))</f>
        <v/>
      </c>
      <c r="D123">
        <f>IF($A123&gt;TODAY(),"",IFERROR(INDEX(Credit_KPIs_Tbl[Total Number Contracts],MATCH($A123,Credit_KPIs_Tbl[Date - التاريخ],0)),""))</f>
        <v/>
      </c>
      <c r="E123">
        <f>IF($A123&gt;TODAY(),"",IFERROR(INDEX(Credit_KPIs_Tbl[Cancelled],MATCH($A123,Credit_KPIs_Tbl[Date - التاريخ],0)),""))</f>
        <v/>
      </c>
      <c r="F123">
        <f>IF($A123&gt;TODAY(),"",SUMIFS(Collection_Summary_Tbl[Amount - المبلغ],Collection_Summary_Tbl[Item - البند],"الاجمالي",Collection_Summary_Tbl[Date To - الى],$A123))</f>
        <v/>
      </c>
      <c r="G123">
        <f>IF($A123&gt;TODAY(),"",SUMIFS(Sales_Tbl[Count - العدد],Sales_Tbl[Date - التاريخ],$A123))</f>
        <v/>
      </c>
      <c r="H123">
        <f>IF($A123&gt;TODAY(),"",SUMIFS(Sales_Tbl[Count - العدد],Sales_Tbl[Status - الحالة],"Accepted - تم التنفيذ",Sales_Tbl[Date - التاريخ],$A123))</f>
        <v/>
      </c>
      <c r="I123">
        <f>IF($A123&gt;TODAY(),"",SUMIFS(Customer_Care_Tbl[Active - نشط],Customer_Care_Tbl[Date - التاريخ],$A123))</f>
        <v/>
      </c>
      <c r="J123">
        <f>IF($A123&gt;TODAY(),"",SUMIFS(Customer_Care_Tbl[Close - مغلق],Customer_Care_Tbl[Date - التاريخ],$A123))</f>
        <v/>
      </c>
    </row>
    <row r="124">
      <c r="A124">
        <f>A123+1</f>
        <v/>
      </c>
      <c r="B124">
        <f>IF($A124&gt;TODAY(),"",IFERROR(INDEX(Credit_KPIs_Tbl[Total Financing Amount],MATCH($A124,Credit_KPIs_Tbl[Date - التاريخ],0)),""))</f>
        <v/>
      </c>
      <c r="C124">
        <f>IF($A124&gt;TODAY(),"",IFERROR(INDEX(Credit_KPIs_Tbl[Today Financing Amount],MATCH($A124,Credit_KPIs_Tbl[Date - التاريخ],0)),""))</f>
        <v/>
      </c>
      <c r="D124">
        <f>IF($A124&gt;TODAY(),"",IFERROR(INDEX(Credit_KPIs_Tbl[Total Number Contracts],MATCH($A124,Credit_KPIs_Tbl[Date - التاريخ],0)),""))</f>
        <v/>
      </c>
      <c r="E124">
        <f>IF($A124&gt;TODAY(),"",IFERROR(INDEX(Credit_KPIs_Tbl[Cancelled],MATCH($A124,Credit_KPIs_Tbl[Date - التاريخ],0)),""))</f>
        <v/>
      </c>
      <c r="F124">
        <f>IF($A124&gt;TODAY(),"",SUMIFS(Collection_Summary_Tbl[Amount - المبلغ],Collection_Summary_Tbl[Item - البند],"الاجمالي",Collection_Summary_Tbl[Date To - الى],$A124))</f>
        <v/>
      </c>
      <c r="G124">
        <f>IF($A124&gt;TODAY(),"",SUMIFS(Sales_Tbl[Count - العدد],Sales_Tbl[Date - التاريخ],$A124))</f>
        <v/>
      </c>
      <c r="H124">
        <f>IF($A124&gt;TODAY(),"",SUMIFS(Sales_Tbl[Count - العدد],Sales_Tbl[Status - الحالة],"Accepted - تم التنفيذ",Sales_Tbl[Date - التاريخ],$A124))</f>
        <v/>
      </c>
      <c r="I124">
        <f>IF($A124&gt;TODAY(),"",SUMIFS(Customer_Care_Tbl[Active - نشط],Customer_Care_Tbl[Date - التاريخ],$A124))</f>
        <v/>
      </c>
      <c r="J124">
        <f>IF($A124&gt;TODAY(),"",SUMIFS(Customer_Care_Tbl[Close - مغلق],Customer_Care_Tbl[Date - التاريخ],$A124))</f>
        <v/>
      </c>
    </row>
    <row r="125">
      <c r="A125">
        <f>A124+1</f>
        <v/>
      </c>
      <c r="B125">
        <f>IF($A125&gt;TODAY(),"",IFERROR(INDEX(Credit_KPIs_Tbl[Total Financing Amount],MATCH($A125,Credit_KPIs_Tbl[Date - التاريخ],0)),""))</f>
        <v/>
      </c>
      <c r="C125">
        <f>IF($A125&gt;TODAY(),"",IFERROR(INDEX(Credit_KPIs_Tbl[Today Financing Amount],MATCH($A125,Credit_KPIs_Tbl[Date - التاريخ],0)),""))</f>
        <v/>
      </c>
      <c r="D125">
        <f>IF($A125&gt;TODAY(),"",IFERROR(INDEX(Credit_KPIs_Tbl[Total Number Contracts],MATCH($A125,Credit_KPIs_Tbl[Date - التاريخ],0)),""))</f>
        <v/>
      </c>
      <c r="E125">
        <f>IF($A125&gt;TODAY(),"",IFERROR(INDEX(Credit_KPIs_Tbl[Cancelled],MATCH($A125,Credit_KPIs_Tbl[Date - التاريخ],0)),""))</f>
        <v/>
      </c>
      <c r="F125">
        <f>IF($A125&gt;TODAY(),"",SUMIFS(Collection_Summary_Tbl[Amount - المبلغ],Collection_Summary_Tbl[Item - البند],"الاجمالي",Collection_Summary_Tbl[Date To - الى],$A125))</f>
        <v/>
      </c>
      <c r="G125">
        <f>IF($A125&gt;TODAY(),"",SUMIFS(Sales_Tbl[Count - العدد],Sales_Tbl[Date - التاريخ],$A125))</f>
        <v/>
      </c>
      <c r="H125">
        <f>IF($A125&gt;TODAY(),"",SUMIFS(Sales_Tbl[Count - العدد],Sales_Tbl[Status - الحالة],"Accepted - تم التنفيذ",Sales_Tbl[Date - التاريخ],$A125))</f>
        <v/>
      </c>
      <c r="I125">
        <f>IF($A125&gt;TODAY(),"",SUMIFS(Customer_Care_Tbl[Active - نشط],Customer_Care_Tbl[Date - التاريخ],$A125))</f>
        <v/>
      </c>
      <c r="J125">
        <f>IF($A125&gt;TODAY(),"",SUMIFS(Customer_Care_Tbl[Close - مغلق],Customer_Care_Tbl[Date - التاريخ],$A125))</f>
        <v/>
      </c>
    </row>
    <row r="126">
      <c r="A126">
        <f>A125+1</f>
        <v/>
      </c>
      <c r="B126">
        <f>IF($A126&gt;TODAY(),"",IFERROR(INDEX(Credit_KPIs_Tbl[Total Financing Amount],MATCH($A126,Credit_KPIs_Tbl[Date - التاريخ],0)),""))</f>
        <v/>
      </c>
      <c r="C126">
        <f>IF($A126&gt;TODAY(),"",IFERROR(INDEX(Credit_KPIs_Tbl[Today Financing Amount],MATCH($A126,Credit_KPIs_Tbl[Date - التاريخ],0)),""))</f>
        <v/>
      </c>
      <c r="D126">
        <f>IF($A126&gt;TODAY(),"",IFERROR(INDEX(Credit_KPIs_Tbl[Total Number Contracts],MATCH($A126,Credit_KPIs_Tbl[Date - التاريخ],0)),""))</f>
        <v/>
      </c>
      <c r="E126">
        <f>IF($A126&gt;TODAY(),"",IFERROR(INDEX(Credit_KPIs_Tbl[Cancelled],MATCH($A126,Credit_KPIs_Tbl[Date - التاريخ],0)),""))</f>
        <v/>
      </c>
      <c r="F126">
        <f>IF($A126&gt;TODAY(),"",SUMIFS(Collection_Summary_Tbl[Amount - المبلغ],Collection_Summary_Tbl[Item - البند],"الاجمالي",Collection_Summary_Tbl[Date To - الى],$A126))</f>
        <v/>
      </c>
      <c r="G126">
        <f>IF($A126&gt;TODAY(),"",SUMIFS(Sales_Tbl[Count - العدد],Sales_Tbl[Date - التاريخ],$A126))</f>
        <v/>
      </c>
      <c r="H126">
        <f>IF($A126&gt;TODAY(),"",SUMIFS(Sales_Tbl[Count - العدد],Sales_Tbl[Status - الحالة],"Accepted - تم التنفيذ",Sales_Tbl[Date - التاريخ],$A126))</f>
        <v/>
      </c>
      <c r="I126">
        <f>IF($A126&gt;TODAY(),"",SUMIFS(Customer_Care_Tbl[Active - نشط],Customer_Care_Tbl[Date - التاريخ],$A126))</f>
        <v/>
      </c>
      <c r="J126">
        <f>IF($A126&gt;TODAY(),"",SUMIFS(Customer_Care_Tbl[Close - مغلق],Customer_Care_Tbl[Date - التاريخ],$A126))</f>
        <v/>
      </c>
    </row>
    <row r="127">
      <c r="A127">
        <f>A126+1</f>
        <v/>
      </c>
      <c r="B127">
        <f>IF($A127&gt;TODAY(),"",IFERROR(INDEX(Credit_KPIs_Tbl[Total Financing Amount],MATCH($A127,Credit_KPIs_Tbl[Date - التاريخ],0)),""))</f>
        <v/>
      </c>
      <c r="C127">
        <f>IF($A127&gt;TODAY(),"",IFERROR(INDEX(Credit_KPIs_Tbl[Today Financing Amount],MATCH($A127,Credit_KPIs_Tbl[Date - التاريخ],0)),""))</f>
        <v/>
      </c>
      <c r="D127">
        <f>IF($A127&gt;TODAY(),"",IFERROR(INDEX(Credit_KPIs_Tbl[Total Number Contracts],MATCH($A127,Credit_KPIs_Tbl[Date - التاريخ],0)),""))</f>
        <v/>
      </c>
      <c r="E127">
        <f>IF($A127&gt;TODAY(),"",IFERROR(INDEX(Credit_KPIs_Tbl[Cancelled],MATCH($A127,Credit_KPIs_Tbl[Date - التاريخ],0)),""))</f>
        <v/>
      </c>
      <c r="F127">
        <f>IF($A127&gt;TODAY(),"",SUMIFS(Collection_Summary_Tbl[Amount - المبلغ],Collection_Summary_Tbl[Item - البند],"الاجمالي",Collection_Summary_Tbl[Date To - الى],$A127))</f>
        <v/>
      </c>
      <c r="G127">
        <f>IF($A127&gt;TODAY(),"",SUMIFS(Sales_Tbl[Count - العدد],Sales_Tbl[Date - التاريخ],$A127))</f>
        <v/>
      </c>
      <c r="H127">
        <f>IF($A127&gt;TODAY(),"",SUMIFS(Sales_Tbl[Count - العدد],Sales_Tbl[Status - الحالة],"Accepted - تم التنفيذ",Sales_Tbl[Date - التاريخ],$A127))</f>
        <v/>
      </c>
      <c r="I127">
        <f>IF($A127&gt;TODAY(),"",SUMIFS(Customer_Care_Tbl[Active - نشط],Customer_Care_Tbl[Date - التاريخ],$A127))</f>
        <v/>
      </c>
      <c r="J127">
        <f>IF($A127&gt;TODAY(),"",SUMIFS(Customer_Care_Tbl[Close - مغلق],Customer_Care_Tbl[Date - التاريخ],$A127))</f>
        <v/>
      </c>
    </row>
    <row r="128">
      <c r="A128">
        <f>A127+1</f>
        <v/>
      </c>
      <c r="B128">
        <f>IF($A128&gt;TODAY(),"",IFERROR(INDEX(Credit_KPIs_Tbl[Total Financing Amount],MATCH($A128,Credit_KPIs_Tbl[Date - التاريخ],0)),""))</f>
        <v/>
      </c>
      <c r="C128">
        <f>IF($A128&gt;TODAY(),"",IFERROR(INDEX(Credit_KPIs_Tbl[Today Financing Amount],MATCH($A128,Credit_KPIs_Tbl[Date - التاريخ],0)),""))</f>
        <v/>
      </c>
      <c r="D128">
        <f>IF($A128&gt;TODAY(),"",IFERROR(INDEX(Credit_KPIs_Tbl[Total Number Contracts],MATCH($A128,Credit_KPIs_Tbl[Date - التاريخ],0)),""))</f>
        <v/>
      </c>
      <c r="E128">
        <f>IF($A128&gt;TODAY(),"",IFERROR(INDEX(Credit_KPIs_Tbl[Cancelled],MATCH($A128,Credit_KPIs_Tbl[Date - التاريخ],0)),""))</f>
        <v/>
      </c>
      <c r="F128">
        <f>IF($A128&gt;TODAY(),"",SUMIFS(Collection_Summary_Tbl[Amount - المبلغ],Collection_Summary_Tbl[Item - البند],"الاجمالي",Collection_Summary_Tbl[Date To - الى],$A128))</f>
        <v/>
      </c>
      <c r="G128">
        <f>IF($A128&gt;TODAY(),"",SUMIFS(Sales_Tbl[Count - العدد],Sales_Tbl[Date - التاريخ],$A128))</f>
        <v/>
      </c>
      <c r="H128">
        <f>IF($A128&gt;TODAY(),"",SUMIFS(Sales_Tbl[Count - العدد],Sales_Tbl[Status - الحالة],"Accepted - تم التنفيذ",Sales_Tbl[Date - التاريخ],$A128))</f>
        <v/>
      </c>
      <c r="I128">
        <f>IF($A128&gt;TODAY(),"",SUMIFS(Customer_Care_Tbl[Active - نشط],Customer_Care_Tbl[Date - التاريخ],$A128))</f>
        <v/>
      </c>
      <c r="J128">
        <f>IF($A128&gt;TODAY(),"",SUMIFS(Customer_Care_Tbl[Close - مغلق],Customer_Care_Tbl[Date - التاريخ],$A128))</f>
        <v/>
      </c>
    </row>
    <row r="129">
      <c r="A129">
        <f>A128+1</f>
        <v/>
      </c>
      <c r="B129">
        <f>IF($A129&gt;TODAY(),"",IFERROR(INDEX(Credit_KPIs_Tbl[Total Financing Amount],MATCH($A129,Credit_KPIs_Tbl[Date - التاريخ],0)),""))</f>
        <v/>
      </c>
      <c r="C129">
        <f>IF($A129&gt;TODAY(),"",IFERROR(INDEX(Credit_KPIs_Tbl[Today Financing Amount],MATCH($A129,Credit_KPIs_Tbl[Date - التاريخ],0)),""))</f>
        <v/>
      </c>
      <c r="D129">
        <f>IF($A129&gt;TODAY(),"",IFERROR(INDEX(Credit_KPIs_Tbl[Total Number Contracts],MATCH($A129,Credit_KPIs_Tbl[Date - التاريخ],0)),""))</f>
        <v/>
      </c>
      <c r="E129">
        <f>IF($A129&gt;TODAY(),"",IFERROR(INDEX(Credit_KPIs_Tbl[Cancelled],MATCH($A129,Credit_KPIs_Tbl[Date - التاريخ],0)),""))</f>
        <v/>
      </c>
      <c r="F129">
        <f>IF($A129&gt;TODAY(),"",SUMIFS(Collection_Summary_Tbl[Amount - المبلغ],Collection_Summary_Tbl[Item - البند],"الاجمالي",Collection_Summary_Tbl[Date To - الى],$A129))</f>
        <v/>
      </c>
      <c r="G129">
        <f>IF($A129&gt;TODAY(),"",SUMIFS(Sales_Tbl[Count - العدد],Sales_Tbl[Date - التاريخ],$A129))</f>
        <v/>
      </c>
      <c r="H129">
        <f>IF($A129&gt;TODAY(),"",SUMIFS(Sales_Tbl[Count - العدد],Sales_Tbl[Status - الحالة],"Accepted - تم التنفيذ",Sales_Tbl[Date - التاريخ],$A129))</f>
        <v/>
      </c>
      <c r="I129">
        <f>IF($A129&gt;TODAY(),"",SUMIFS(Customer_Care_Tbl[Active - نشط],Customer_Care_Tbl[Date - التاريخ],$A129))</f>
        <v/>
      </c>
      <c r="J129">
        <f>IF($A129&gt;TODAY(),"",SUMIFS(Customer_Care_Tbl[Close - مغلق],Customer_Care_Tbl[Date - التاريخ],$A129))</f>
        <v/>
      </c>
    </row>
    <row r="130">
      <c r="A130">
        <f>A129+1</f>
        <v/>
      </c>
      <c r="B130">
        <f>IF($A130&gt;TODAY(),"",IFERROR(INDEX(Credit_KPIs_Tbl[Total Financing Amount],MATCH($A130,Credit_KPIs_Tbl[Date - التاريخ],0)),""))</f>
        <v/>
      </c>
      <c r="C130">
        <f>IF($A130&gt;TODAY(),"",IFERROR(INDEX(Credit_KPIs_Tbl[Today Financing Amount],MATCH($A130,Credit_KPIs_Tbl[Date - التاريخ],0)),""))</f>
        <v/>
      </c>
      <c r="D130">
        <f>IF($A130&gt;TODAY(),"",IFERROR(INDEX(Credit_KPIs_Tbl[Total Number Contracts],MATCH($A130,Credit_KPIs_Tbl[Date - التاريخ],0)),""))</f>
        <v/>
      </c>
      <c r="E130">
        <f>IF($A130&gt;TODAY(),"",IFERROR(INDEX(Credit_KPIs_Tbl[Cancelled],MATCH($A130,Credit_KPIs_Tbl[Date - التاريخ],0)),""))</f>
        <v/>
      </c>
      <c r="F130">
        <f>IF($A130&gt;TODAY(),"",SUMIFS(Collection_Summary_Tbl[Amount - المبلغ],Collection_Summary_Tbl[Item - البند],"الاجمالي",Collection_Summary_Tbl[Date To - الى],$A130))</f>
        <v/>
      </c>
      <c r="G130">
        <f>IF($A130&gt;TODAY(),"",SUMIFS(Sales_Tbl[Count - العدد],Sales_Tbl[Date - التاريخ],$A130))</f>
        <v/>
      </c>
      <c r="H130">
        <f>IF($A130&gt;TODAY(),"",SUMIFS(Sales_Tbl[Count - العدد],Sales_Tbl[Status - الحالة],"Accepted - تم التنفيذ",Sales_Tbl[Date - التاريخ],$A130))</f>
        <v/>
      </c>
      <c r="I130">
        <f>IF($A130&gt;TODAY(),"",SUMIFS(Customer_Care_Tbl[Active - نشط],Customer_Care_Tbl[Date - التاريخ],$A130))</f>
        <v/>
      </c>
      <c r="J130">
        <f>IF($A130&gt;TODAY(),"",SUMIFS(Customer_Care_Tbl[Close - مغلق],Customer_Care_Tbl[Date - التاريخ],$A130))</f>
        <v/>
      </c>
    </row>
    <row r="131">
      <c r="A131">
        <f>A130+1</f>
        <v/>
      </c>
      <c r="B131">
        <f>IF($A131&gt;TODAY(),"",IFERROR(INDEX(Credit_KPIs_Tbl[Total Financing Amount],MATCH($A131,Credit_KPIs_Tbl[Date - التاريخ],0)),""))</f>
        <v/>
      </c>
      <c r="C131">
        <f>IF($A131&gt;TODAY(),"",IFERROR(INDEX(Credit_KPIs_Tbl[Today Financing Amount],MATCH($A131,Credit_KPIs_Tbl[Date - التاريخ],0)),""))</f>
        <v/>
      </c>
      <c r="D131">
        <f>IF($A131&gt;TODAY(),"",IFERROR(INDEX(Credit_KPIs_Tbl[Total Number Contracts],MATCH($A131,Credit_KPIs_Tbl[Date - التاريخ],0)),""))</f>
        <v/>
      </c>
      <c r="E131">
        <f>IF($A131&gt;TODAY(),"",IFERROR(INDEX(Credit_KPIs_Tbl[Cancelled],MATCH($A131,Credit_KPIs_Tbl[Date - التاريخ],0)),""))</f>
        <v/>
      </c>
      <c r="F131">
        <f>IF($A131&gt;TODAY(),"",SUMIFS(Collection_Summary_Tbl[Amount - المبلغ],Collection_Summary_Tbl[Item - البند],"الاجمالي",Collection_Summary_Tbl[Date To - الى],$A131))</f>
        <v/>
      </c>
      <c r="G131">
        <f>IF($A131&gt;TODAY(),"",SUMIFS(Sales_Tbl[Count - العدد],Sales_Tbl[Date - التاريخ],$A131))</f>
        <v/>
      </c>
      <c r="H131">
        <f>IF($A131&gt;TODAY(),"",SUMIFS(Sales_Tbl[Count - العدد],Sales_Tbl[Status - الحالة],"Accepted - تم التنفيذ",Sales_Tbl[Date - التاريخ],$A131))</f>
        <v/>
      </c>
      <c r="I131">
        <f>IF($A131&gt;TODAY(),"",SUMIFS(Customer_Care_Tbl[Active - نشط],Customer_Care_Tbl[Date - التاريخ],$A131))</f>
        <v/>
      </c>
      <c r="J131">
        <f>IF($A131&gt;TODAY(),"",SUMIFS(Customer_Care_Tbl[Close - مغلق],Customer_Care_Tbl[Date - التاريخ],$A131))</f>
        <v/>
      </c>
    </row>
    <row r="132">
      <c r="A132">
        <f>A131+1</f>
        <v/>
      </c>
      <c r="B132">
        <f>IF($A132&gt;TODAY(),"",IFERROR(INDEX(Credit_KPIs_Tbl[Total Financing Amount],MATCH($A132,Credit_KPIs_Tbl[Date - التاريخ],0)),""))</f>
        <v/>
      </c>
      <c r="C132">
        <f>IF($A132&gt;TODAY(),"",IFERROR(INDEX(Credit_KPIs_Tbl[Today Financing Amount],MATCH($A132,Credit_KPIs_Tbl[Date - التاريخ],0)),""))</f>
        <v/>
      </c>
      <c r="D132">
        <f>IF($A132&gt;TODAY(),"",IFERROR(INDEX(Credit_KPIs_Tbl[Total Number Contracts],MATCH($A132,Credit_KPIs_Tbl[Date - التاريخ],0)),""))</f>
        <v/>
      </c>
      <c r="E132">
        <f>IF($A132&gt;TODAY(),"",IFERROR(INDEX(Credit_KPIs_Tbl[Cancelled],MATCH($A132,Credit_KPIs_Tbl[Date - التاريخ],0)),""))</f>
        <v/>
      </c>
      <c r="F132">
        <f>IF($A132&gt;TODAY(),"",SUMIFS(Collection_Summary_Tbl[Amount - المبلغ],Collection_Summary_Tbl[Item - البند],"الاجمالي",Collection_Summary_Tbl[Date To - الى],$A132))</f>
        <v/>
      </c>
      <c r="G132">
        <f>IF($A132&gt;TODAY(),"",SUMIFS(Sales_Tbl[Count - العدد],Sales_Tbl[Date - التاريخ],$A132))</f>
        <v/>
      </c>
      <c r="H132">
        <f>IF($A132&gt;TODAY(),"",SUMIFS(Sales_Tbl[Count - العدد],Sales_Tbl[Status - الحالة],"Accepted - تم التنفيذ",Sales_Tbl[Date - التاريخ],$A132))</f>
        <v/>
      </c>
      <c r="I132">
        <f>IF($A132&gt;TODAY(),"",SUMIFS(Customer_Care_Tbl[Active - نشط],Customer_Care_Tbl[Date - التاريخ],$A132))</f>
        <v/>
      </c>
      <c r="J132">
        <f>IF($A132&gt;TODAY(),"",SUMIFS(Customer_Care_Tbl[Close - مغلق],Customer_Care_Tbl[Date - التاريخ],$A132))</f>
        <v/>
      </c>
    </row>
    <row r="133">
      <c r="A133">
        <f>A132+1</f>
        <v/>
      </c>
      <c r="B133">
        <f>IF($A133&gt;TODAY(),"",IFERROR(INDEX(Credit_KPIs_Tbl[Total Financing Amount],MATCH($A133,Credit_KPIs_Tbl[Date - التاريخ],0)),""))</f>
        <v/>
      </c>
      <c r="C133">
        <f>IF($A133&gt;TODAY(),"",IFERROR(INDEX(Credit_KPIs_Tbl[Today Financing Amount],MATCH($A133,Credit_KPIs_Tbl[Date - التاريخ],0)),""))</f>
        <v/>
      </c>
      <c r="D133">
        <f>IF($A133&gt;TODAY(),"",IFERROR(INDEX(Credit_KPIs_Tbl[Total Number Contracts],MATCH($A133,Credit_KPIs_Tbl[Date - التاريخ],0)),""))</f>
        <v/>
      </c>
      <c r="E133">
        <f>IF($A133&gt;TODAY(),"",IFERROR(INDEX(Credit_KPIs_Tbl[Cancelled],MATCH($A133,Credit_KPIs_Tbl[Date - التاريخ],0)),""))</f>
        <v/>
      </c>
      <c r="F133">
        <f>IF($A133&gt;TODAY(),"",SUMIFS(Collection_Summary_Tbl[Amount - المبلغ],Collection_Summary_Tbl[Item - البند],"الاجمالي",Collection_Summary_Tbl[Date To - الى],$A133))</f>
        <v/>
      </c>
      <c r="G133">
        <f>IF($A133&gt;TODAY(),"",SUMIFS(Sales_Tbl[Count - العدد],Sales_Tbl[Date - التاريخ],$A133))</f>
        <v/>
      </c>
      <c r="H133">
        <f>IF($A133&gt;TODAY(),"",SUMIFS(Sales_Tbl[Count - العدد],Sales_Tbl[Status - الحالة],"Accepted - تم التنفيذ",Sales_Tbl[Date - التاريخ],$A133))</f>
        <v/>
      </c>
      <c r="I133">
        <f>IF($A133&gt;TODAY(),"",SUMIFS(Customer_Care_Tbl[Active - نشط],Customer_Care_Tbl[Date - التاريخ],$A133))</f>
        <v/>
      </c>
      <c r="J133">
        <f>IF($A133&gt;TODAY(),"",SUMIFS(Customer_Care_Tbl[Close - مغلق],Customer_Care_Tbl[Date - التاريخ],$A133))</f>
        <v/>
      </c>
    </row>
    <row r="134">
      <c r="A134">
        <f>A133+1</f>
        <v/>
      </c>
      <c r="B134">
        <f>IF($A134&gt;TODAY(),"",IFERROR(INDEX(Credit_KPIs_Tbl[Total Financing Amount],MATCH($A134,Credit_KPIs_Tbl[Date - التاريخ],0)),""))</f>
        <v/>
      </c>
      <c r="C134">
        <f>IF($A134&gt;TODAY(),"",IFERROR(INDEX(Credit_KPIs_Tbl[Today Financing Amount],MATCH($A134,Credit_KPIs_Tbl[Date - التاريخ],0)),""))</f>
        <v/>
      </c>
      <c r="D134">
        <f>IF($A134&gt;TODAY(),"",IFERROR(INDEX(Credit_KPIs_Tbl[Total Number Contracts],MATCH($A134,Credit_KPIs_Tbl[Date - التاريخ],0)),""))</f>
        <v/>
      </c>
      <c r="E134">
        <f>IF($A134&gt;TODAY(),"",IFERROR(INDEX(Credit_KPIs_Tbl[Cancelled],MATCH($A134,Credit_KPIs_Tbl[Date - التاريخ],0)),""))</f>
        <v/>
      </c>
      <c r="F134">
        <f>IF($A134&gt;TODAY(),"",SUMIFS(Collection_Summary_Tbl[Amount - المبلغ],Collection_Summary_Tbl[Item - البند],"الاجمالي",Collection_Summary_Tbl[Date To - الى],$A134))</f>
        <v/>
      </c>
      <c r="G134">
        <f>IF($A134&gt;TODAY(),"",SUMIFS(Sales_Tbl[Count - العدد],Sales_Tbl[Date - التاريخ],$A134))</f>
        <v/>
      </c>
      <c r="H134">
        <f>IF($A134&gt;TODAY(),"",SUMIFS(Sales_Tbl[Count - العدد],Sales_Tbl[Status - الحالة],"Accepted - تم التنفيذ",Sales_Tbl[Date - التاريخ],$A134))</f>
        <v/>
      </c>
      <c r="I134">
        <f>IF($A134&gt;TODAY(),"",SUMIFS(Customer_Care_Tbl[Active - نشط],Customer_Care_Tbl[Date - التاريخ],$A134))</f>
        <v/>
      </c>
      <c r="J134">
        <f>IF($A134&gt;TODAY(),"",SUMIFS(Customer_Care_Tbl[Close - مغلق],Customer_Care_Tbl[Date - التاريخ],$A134))</f>
        <v/>
      </c>
    </row>
    <row r="135">
      <c r="A135">
        <f>A134+1</f>
        <v/>
      </c>
      <c r="B135">
        <f>IF($A135&gt;TODAY(),"",IFERROR(INDEX(Credit_KPIs_Tbl[Total Financing Amount],MATCH($A135,Credit_KPIs_Tbl[Date - التاريخ],0)),""))</f>
        <v/>
      </c>
      <c r="C135">
        <f>IF($A135&gt;TODAY(),"",IFERROR(INDEX(Credit_KPIs_Tbl[Today Financing Amount],MATCH($A135,Credit_KPIs_Tbl[Date - التاريخ],0)),""))</f>
        <v/>
      </c>
      <c r="D135">
        <f>IF($A135&gt;TODAY(),"",IFERROR(INDEX(Credit_KPIs_Tbl[Total Number Contracts],MATCH($A135,Credit_KPIs_Tbl[Date - التاريخ],0)),""))</f>
        <v/>
      </c>
      <c r="E135">
        <f>IF($A135&gt;TODAY(),"",IFERROR(INDEX(Credit_KPIs_Tbl[Cancelled],MATCH($A135,Credit_KPIs_Tbl[Date - التاريخ],0)),""))</f>
        <v/>
      </c>
      <c r="F135">
        <f>IF($A135&gt;TODAY(),"",SUMIFS(Collection_Summary_Tbl[Amount - المبلغ],Collection_Summary_Tbl[Item - البند],"الاجمالي",Collection_Summary_Tbl[Date To - الى],$A135))</f>
        <v/>
      </c>
      <c r="G135">
        <f>IF($A135&gt;TODAY(),"",SUMIFS(Sales_Tbl[Count - العدد],Sales_Tbl[Date - التاريخ],$A135))</f>
        <v/>
      </c>
      <c r="H135">
        <f>IF($A135&gt;TODAY(),"",SUMIFS(Sales_Tbl[Count - العدد],Sales_Tbl[Status - الحالة],"Accepted - تم التنفيذ",Sales_Tbl[Date - التاريخ],$A135))</f>
        <v/>
      </c>
      <c r="I135">
        <f>IF($A135&gt;TODAY(),"",SUMIFS(Customer_Care_Tbl[Active - نشط],Customer_Care_Tbl[Date - التاريخ],$A135))</f>
        <v/>
      </c>
      <c r="J135">
        <f>IF($A135&gt;TODAY(),"",SUMIFS(Customer_Care_Tbl[Close - مغلق],Customer_Care_Tbl[Date - التاريخ],$A135))</f>
        <v/>
      </c>
    </row>
    <row r="136">
      <c r="A136">
        <f>A135+1</f>
        <v/>
      </c>
      <c r="B136">
        <f>IF($A136&gt;TODAY(),"",IFERROR(INDEX(Credit_KPIs_Tbl[Total Financing Amount],MATCH($A136,Credit_KPIs_Tbl[Date - التاريخ],0)),""))</f>
        <v/>
      </c>
      <c r="C136">
        <f>IF($A136&gt;TODAY(),"",IFERROR(INDEX(Credit_KPIs_Tbl[Today Financing Amount],MATCH($A136,Credit_KPIs_Tbl[Date - التاريخ],0)),""))</f>
        <v/>
      </c>
      <c r="D136">
        <f>IF($A136&gt;TODAY(),"",IFERROR(INDEX(Credit_KPIs_Tbl[Total Number Contracts],MATCH($A136,Credit_KPIs_Tbl[Date - التاريخ],0)),""))</f>
        <v/>
      </c>
      <c r="E136">
        <f>IF($A136&gt;TODAY(),"",IFERROR(INDEX(Credit_KPIs_Tbl[Cancelled],MATCH($A136,Credit_KPIs_Tbl[Date - التاريخ],0)),""))</f>
        <v/>
      </c>
      <c r="F136">
        <f>IF($A136&gt;TODAY(),"",SUMIFS(Collection_Summary_Tbl[Amount - المبلغ],Collection_Summary_Tbl[Item - البند],"الاجمالي",Collection_Summary_Tbl[Date To - الى],$A136))</f>
        <v/>
      </c>
      <c r="G136">
        <f>IF($A136&gt;TODAY(),"",SUMIFS(Sales_Tbl[Count - العدد],Sales_Tbl[Date - التاريخ],$A136))</f>
        <v/>
      </c>
      <c r="H136">
        <f>IF($A136&gt;TODAY(),"",SUMIFS(Sales_Tbl[Count - العدد],Sales_Tbl[Status - الحالة],"Accepted - تم التنفيذ",Sales_Tbl[Date - التاريخ],$A136))</f>
        <v/>
      </c>
      <c r="I136">
        <f>IF($A136&gt;TODAY(),"",SUMIFS(Customer_Care_Tbl[Active - نشط],Customer_Care_Tbl[Date - التاريخ],$A136))</f>
        <v/>
      </c>
      <c r="J136">
        <f>IF($A136&gt;TODAY(),"",SUMIFS(Customer_Care_Tbl[Close - مغلق],Customer_Care_Tbl[Date - التاريخ],$A136))</f>
        <v/>
      </c>
    </row>
    <row r="137">
      <c r="A137">
        <f>A136+1</f>
        <v/>
      </c>
      <c r="B137">
        <f>IF($A137&gt;TODAY(),"",IFERROR(INDEX(Credit_KPIs_Tbl[Total Financing Amount],MATCH($A137,Credit_KPIs_Tbl[Date - التاريخ],0)),""))</f>
        <v/>
      </c>
      <c r="C137">
        <f>IF($A137&gt;TODAY(),"",IFERROR(INDEX(Credit_KPIs_Tbl[Today Financing Amount],MATCH($A137,Credit_KPIs_Tbl[Date - التاريخ],0)),""))</f>
        <v/>
      </c>
      <c r="D137">
        <f>IF($A137&gt;TODAY(),"",IFERROR(INDEX(Credit_KPIs_Tbl[Total Number Contracts],MATCH($A137,Credit_KPIs_Tbl[Date - التاريخ],0)),""))</f>
        <v/>
      </c>
      <c r="E137">
        <f>IF($A137&gt;TODAY(),"",IFERROR(INDEX(Credit_KPIs_Tbl[Cancelled],MATCH($A137,Credit_KPIs_Tbl[Date - التاريخ],0)),""))</f>
        <v/>
      </c>
      <c r="F137">
        <f>IF($A137&gt;TODAY(),"",SUMIFS(Collection_Summary_Tbl[Amount - المبلغ],Collection_Summary_Tbl[Item - البند],"الاجمالي",Collection_Summary_Tbl[Date To - الى],$A137))</f>
        <v/>
      </c>
      <c r="G137">
        <f>IF($A137&gt;TODAY(),"",SUMIFS(Sales_Tbl[Count - العدد],Sales_Tbl[Date - التاريخ],$A137))</f>
        <v/>
      </c>
      <c r="H137">
        <f>IF($A137&gt;TODAY(),"",SUMIFS(Sales_Tbl[Count - العدد],Sales_Tbl[Status - الحالة],"Accepted - تم التنفيذ",Sales_Tbl[Date - التاريخ],$A137))</f>
        <v/>
      </c>
      <c r="I137">
        <f>IF($A137&gt;TODAY(),"",SUMIFS(Customer_Care_Tbl[Active - نشط],Customer_Care_Tbl[Date - التاريخ],$A137))</f>
        <v/>
      </c>
      <c r="J137">
        <f>IF($A137&gt;TODAY(),"",SUMIFS(Customer_Care_Tbl[Close - مغلق],Customer_Care_Tbl[Date - التاريخ],$A137))</f>
        <v/>
      </c>
    </row>
    <row r="138">
      <c r="A138">
        <f>A137+1</f>
        <v/>
      </c>
      <c r="B138">
        <f>IF($A138&gt;TODAY(),"",IFERROR(INDEX(Credit_KPIs_Tbl[Total Financing Amount],MATCH($A138,Credit_KPIs_Tbl[Date - التاريخ],0)),""))</f>
        <v/>
      </c>
      <c r="C138">
        <f>IF($A138&gt;TODAY(),"",IFERROR(INDEX(Credit_KPIs_Tbl[Today Financing Amount],MATCH($A138,Credit_KPIs_Tbl[Date - التاريخ],0)),""))</f>
        <v/>
      </c>
      <c r="D138">
        <f>IF($A138&gt;TODAY(),"",IFERROR(INDEX(Credit_KPIs_Tbl[Total Number Contracts],MATCH($A138,Credit_KPIs_Tbl[Date - التاريخ],0)),""))</f>
        <v/>
      </c>
      <c r="E138">
        <f>IF($A138&gt;TODAY(),"",IFERROR(INDEX(Credit_KPIs_Tbl[Cancelled],MATCH($A138,Credit_KPIs_Tbl[Date - التاريخ],0)),""))</f>
        <v/>
      </c>
      <c r="F138">
        <f>IF($A138&gt;TODAY(),"",SUMIFS(Collection_Summary_Tbl[Amount - المبلغ],Collection_Summary_Tbl[Item - البند],"الاجمالي",Collection_Summary_Tbl[Date To - الى],$A138))</f>
        <v/>
      </c>
      <c r="G138">
        <f>IF($A138&gt;TODAY(),"",SUMIFS(Sales_Tbl[Count - العدد],Sales_Tbl[Date - التاريخ],$A138))</f>
        <v/>
      </c>
      <c r="H138">
        <f>IF($A138&gt;TODAY(),"",SUMIFS(Sales_Tbl[Count - العدد],Sales_Tbl[Status - الحالة],"Accepted - تم التنفيذ",Sales_Tbl[Date - التاريخ],$A138))</f>
        <v/>
      </c>
      <c r="I138">
        <f>IF($A138&gt;TODAY(),"",SUMIFS(Customer_Care_Tbl[Active - نشط],Customer_Care_Tbl[Date - التاريخ],$A138))</f>
        <v/>
      </c>
      <c r="J138">
        <f>IF($A138&gt;TODAY(),"",SUMIFS(Customer_Care_Tbl[Close - مغلق],Customer_Care_Tbl[Date - التاريخ],$A138))</f>
        <v/>
      </c>
    </row>
    <row r="139">
      <c r="A139">
        <f>A138+1</f>
        <v/>
      </c>
      <c r="B139">
        <f>IF($A139&gt;TODAY(),"",IFERROR(INDEX(Credit_KPIs_Tbl[Total Financing Amount],MATCH($A139,Credit_KPIs_Tbl[Date - التاريخ],0)),""))</f>
        <v/>
      </c>
      <c r="C139">
        <f>IF($A139&gt;TODAY(),"",IFERROR(INDEX(Credit_KPIs_Tbl[Today Financing Amount],MATCH($A139,Credit_KPIs_Tbl[Date - التاريخ],0)),""))</f>
        <v/>
      </c>
      <c r="D139">
        <f>IF($A139&gt;TODAY(),"",IFERROR(INDEX(Credit_KPIs_Tbl[Total Number Contracts],MATCH($A139,Credit_KPIs_Tbl[Date - التاريخ],0)),""))</f>
        <v/>
      </c>
      <c r="E139">
        <f>IF($A139&gt;TODAY(),"",IFERROR(INDEX(Credit_KPIs_Tbl[Cancelled],MATCH($A139,Credit_KPIs_Tbl[Date - التاريخ],0)),""))</f>
        <v/>
      </c>
      <c r="F139">
        <f>IF($A139&gt;TODAY(),"",SUMIFS(Collection_Summary_Tbl[Amount - المبلغ],Collection_Summary_Tbl[Item - البند],"الاجمالي",Collection_Summary_Tbl[Date To - الى],$A139))</f>
        <v/>
      </c>
      <c r="G139">
        <f>IF($A139&gt;TODAY(),"",SUMIFS(Sales_Tbl[Count - العدد],Sales_Tbl[Date - التاريخ],$A139))</f>
        <v/>
      </c>
      <c r="H139">
        <f>IF($A139&gt;TODAY(),"",SUMIFS(Sales_Tbl[Count - العدد],Sales_Tbl[Status - الحالة],"Accepted - تم التنفيذ",Sales_Tbl[Date - التاريخ],$A139))</f>
        <v/>
      </c>
      <c r="I139">
        <f>IF($A139&gt;TODAY(),"",SUMIFS(Customer_Care_Tbl[Active - نشط],Customer_Care_Tbl[Date - التاريخ],$A139))</f>
        <v/>
      </c>
      <c r="J139">
        <f>IF($A139&gt;TODAY(),"",SUMIFS(Customer_Care_Tbl[Close - مغلق],Customer_Care_Tbl[Date - التاريخ],$A139))</f>
        <v/>
      </c>
    </row>
    <row r="140">
      <c r="A140">
        <f>A139+1</f>
        <v/>
      </c>
      <c r="B140">
        <f>IF($A140&gt;TODAY(),"",IFERROR(INDEX(Credit_KPIs_Tbl[Total Financing Amount],MATCH($A140,Credit_KPIs_Tbl[Date - التاريخ],0)),""))</f>
        <v/>
      </c>
      <c r="C140">
        <f>IF($A140&gt;TODAY(),"",IFERROR(INDEX(Credit_KPIs_Tbl[Today Financing Amount],MATCH($A140,Credit_KPIs_Tbl[Date - التاريخ],0)),""))</f>
        <v/>
      </c>
      <c r="D140">
        <f>IF($A140&gt;TODAY(),"",IFERROR(INDEX(Credit_KPIs_Tbl[Total Number Contracts],MATCH($A140,Credit_KPIs_Tbl[Date - التاريخ],0)),""))</f>
        <v/>
      </c>
      <c r="E140">
        <f>IF($A140&gt;TODAY(),"",IFERROR(INDEX(Credit_KPIs_Tbl[Cancelled],MATCH($A140,Credit_KPIs_Tbl[Date - التاريخ],0)),""))</f>
        <v/>
      </c>
      <c r="F140">
        <f>IF($A140&gt;TODAY(),"",SUMIFS(Collection_Summary_Tbl[Amount - المبلغ],Collection_Summary_Tbl[Item - البند],"الاجمالي",Collection_Summary_Tbl[Date To - الى],$A140))</f>
        <v/>
      </c>
      <c r="G140">
        <f>IF($A140&gt;TODAY(),"",SUMIFS(Sales_Tbl[Count - العدد],Sales_Tbl[Date - التاريخ],$A140))</f>
        <v/>
      </c>
      <c r="H140">
        <f>IF($A140&gt;TODAY(),"",SUMIFS(Sales_Tbl[Count - العدد],Sales_Tbl[Status - الحالة],"Accepted - تم التنفيذ",Sales_Tbl[Date - التاريخ],$A140))</f>
        <v/>
      </c>
      <c r="I140">
        <f>IF($A140&gt;TODAY(),"",SUMIFS(Customer_Care_Tbl[Active - نشط],Customer_Care_Tbl[Date - التاريخ],$A140))</f>
        <v/>
      </c>
      <c r="J140">
        <f>IF($A140&gt;TODAY(),"",SUMIFS(Customer_Care_Tbl[Close - مغلق],Customer_Care_Tbl[Date - التاريخ],$A140))</f>
        <v/>
      </c>
    </row>
    <row r="141">
      <c r="A141">
        <f>A140+1</f>
        <v/>
      </c>
      <c r="B141">
        <f>IF($A141&gt;TODAY(),"",IFERROR(INDEX(Credit_KPIs_Tbl[Total Financing Amount],MATCH($A141,Credit_KPIs_Tbl[Date - التاريخ],0)),""))</f>
        <v/>
      </c>
      <c r="C141">
        <f>IF($A141&gt;TODAY(),"",IFERROR(INDEX(Credit_KPIs_Tbl[Today Financing Amount],MATCH($A141,Credit_KPIs_Tbl[Date - التاريخ],0)),""))</f>
        <v/>
      </c>
      <c r="D141">
        <f>IF($A141&gt;TODAY(),"",IFERROR(INDEX(Credit_KPIs_Tbl[Total Number Contracts],MATCH($A141,Credit_KPIs_Tbl[Date - التاريخ],0)),""))</f>
        <v/>
      </c>
      <c r="E141">
        <f>IF($A141&gt;TODAY(),"",IFERROR(INDEX(Credit_KPIs_Tbl[Cancelled],MATCH($A141,Credit_KPIs_Tbl[Date - التاريخ],0)),""))</f>
        <v/>
      </c>
      <c r="F141">
        <f>IF($A141&gt;TODAY(),"",SUMIFS(Collection_Summary_Tbl[Amount - المبلغ],Collection_Summary_Tbl[Item - البند],"الاجمالي",Collection_Summary_Tbl[Date To - الى],$A141))</f>
        <v/>
      </c>
      <c r="G141">
        <f>IF($A141&gt;TODAY(),"",SUMIFS(Sales_Tbl[Count - العدد],Sales_Tbl[Date - التاريخ],$A141))</f>
        <v/>
      </c>
      <c r="H141">
        <f>IF($A141&gt;TODAY(),"",SUMIFS(Sales_Tbl[Count - العدد],Sales_Tbl[Status - الحالة],"Accepted - تم التنفيذ",Sales_Tbl[Date - التاريخ],$A141))</f>
        <v/>
      </c>
      <c r="I141">
        <f>IF($A141&gt;TODAY(),"",SUMIFS(Customer_Care_Tbl[Active - نشط],Customer_Care_Tbl[Date - التاريخ],$A141))</f>
        <v/>
      </c>
      <c r="J141">
        <f>IF($A141&gt;TODAY(),"",SUMIFS(Customer_Care_Tbl[Close - مغلق],Customer_Care_Tbl[Date - التاريخ],$A141))</f>
        <v/>
      </c>
    </row>
    <row r="142">
      <c r="A142">
        <f>A141+1</f>
        <v/>
      </c>
      <c r="B142">
        <f>IF($A142&gt;TODAY(),"",IFERROR(INDEX(Credit_KPIs_Tbl[Total Financing Amount],MATCH($A142,Credit_KPIs_Tbl[Date - التاريخ],0)),""))</f>
        <v/>
      </c>
      <c r="C142">
        <f>IF($A142&gt;TODAY(),"",IFERROR(INDEX(Credit_KPIs_Tbl[Today Financing Amount],MATCH($A142,Credit_KPIs_Tbl[Date - التاريخ],0)),""))</f>
        <v/>
      </c>
      <c r="D142">
        <f>IF($A142&gt;TODAY(),"",IFERROR(INDEX(Credit_KPIs_Tbl[Total Number Contracts],MATCH($A142,Credit_KPIs_Tbl[Date - التاريخ],0)),""))</f>
        <v/>
      </c>
      <c r="E142">
        <f>IF($A142&gt;TODAY(),"",IFERROR(INDEX(Credit_KPIs_Tbl[Cancelled],MATCH($A142,Credit_KPIs_Tbl[Date - التاريخ],0)),""))</f>
        <v/>
      </c>
      <c r="F142">
        <f>IF($A142&gt;TODAY(),"",SUMIFS(Collection_Summary_Tbl[Amount - المبلغ],Collection_Summary_Tbl[Item - البند],"الاجمالي",Collection_Summary_Tbl[Date To - الى],$A142))</f>
        <v/>
      </c>
      <c r="G142">
        <f>IF($A142&gt;TODAY(),"",SUMIFS(Sales_Tbl[Count - العدد],Sales_Tbl[Date - التاريخ],$A142))</f>
        <v/>
      </c>
      <c r="H142">
        <f>IF($A142&gt;TODAY(),"",SUMIFS(Sales_Tbl[Count - العدد],Sales_Tbl[Status - الحالة],"Accepted - تم التنفيذ",Sales_Tbl[Date - التاريخ],$A142))</f>
        <v/>
      </c>
      <c r="I142">
        <f>IF($A142&gt;TODAY(),"",SUMIFS(Customer_Care_Tbl[Active - نشط],Customer_Care_Tbl[Date - التاريخ],$A142))</f>
        <v/>
      </c>
      <c r="J142">
        <f>IF($A142&gt;TODAY(),"",SUMIFS(Customer_Care_Tbl[Close - مغلق],Customer_Care_Tbl[Date - التاريخ],$A142))</f>
        <v/>
      </c>
    </row>
    <row r="143">
      <c r="A143">
        <f>A142+1</f>
        <v/>
      </c>
      <c r="B143">
        <f>IF($A143&gt;TODAY(),"",IFERROR(INDEX(Credit_KPIs_Tbl[Total Financing Amount],MATCH($A143,Credit_KPIs_Tbl[Date - التاريخ],0)),""))</f>
        <v/>
      </c>
      <c r="C143">
        <f>IF($A143&gt;TODAY(),"",IFERROR(INDEX(Credit_KPIs_Tbl[Today Financing Amount],MATCH($A143,Credit_KPIs_Tbl[Date - التاريخ],0)),""))</f>
        <v/>
      </c>
      <c r="D143">
        <f>IF($A143&gt;TODAY(),"",IFERROR(INDEX(Credit_KPIs_Tbl[Total Number Contracts],MATCH($A143,Credit_KPIs_Tbl[Date - التاريخ],0)),""))</f>
        <v/>
      </c>
      <c r="E143">
        <f>IF($A143&gt;TODAY(),"",IFERROR(INDEX(Credit_KPIs_Tbl[Cancelled],MATCH($A143,Credit_KPIs_Tbl[Date - التاريخ],0)),""))</f>
        <v/>
      </c>
      <c r="F143">
        <f>IF($A143&gt;TODAY(),"",SUMIFS(Collection_Summary_Tbl[Amount - المبلغ],Collection_Summary_Tbl[Item - البند],"الاجمالي",Collection_Summary_Tbl[Date To - الى],$A143))</f>
        <v/>
      </c>
      <c r="G143">
        <f>IF($A143&gt;TODAY(),"",SUMIFS(Sales_Tbl[Count - العدد],Sales_Tbl[Date - التاريخ],$A143))</f>
        <v/>
      </c>
      <c r="H143">
        <f>IF($A143&gt;TODAY(),"",SUMIFS(Sales_Tbl[Count - العدد],Sales_Tbl[Status - الحالة],"Accepted - تم التنفيذ",Sales_Tbl[Date - التاريخ],$A143))</f>
        <v/>
      </c>
      <c r="I143">
        <f>IF($A143&gt;TODAY(),"",SUMIFS(Customer_Care_Tbl[Active - نشط],Customer_Care_Tbl[Date - التاريخ],$A143))</f>
        <v/>
      </c>
      <c r="J143">
        <f>IF($A143&gt;TODAY(),"",SUMIFS(Customer_Care_Tbl[Close - مغلق],Customer_Care_Tbl[Date - التاريخ],$A143))</f>
        <v/>
      </c>
    </row>
    <row r="144">
      <c r="A144">
        <f>A143+1</f>
        <v/>
      </c>
      <c r="B144">
        <f>IF($A144&gt;TODAY(),"",IFERROR(INDEX(Credit_KPIs_Tbl[Total Financing Amount],MATCH($A144,Credit_KPIs_Tbl[Date - التاريخ],0)),""))</f>
        <v/>
      </c>
      <c r="C144">
        <f>IF($A144&gt;TODAY(),"",IFERROR(INDEX(Credit_KPIs_Tbl[Today Financing Amount],MATCH($A144,Credit_KPIs_Tbl[Date - التاريخ],0)),""))</f>
        <v/>
      </c>
      <c r="D144">
        <f>IF($A144&gt;TODAY(),"",IFERROR(INDEX(Credit_KPIs_Tbl[Total Number Contracts],MATCH($A144,Credit_KPIs_Tbl[Date - التاريخ],0)),""))</f>
        <v/>
      </c>
      <c r="E144">
        <f>IF($A144&gt;TODAY(),"",IFERROR(INDEX(Credit_KPIs_Tbl[Cancelled],MATCH($A144,Credit_KPIs_Tbl[Date - التاريخ],0)),""))</f>
        <v/>
      </c>
      <c r="F144">
        <f>IF($A144&gt;TODAY(),"",SUMIFS(Collection_Summary_Tbl[Amount - المبلغ],Collection_Summary_Tbl[Item - البند],"الاجمالي",Collection_Summary_Tbl[Date To - الى],$A144))</f>
        <v/>
      </c>
      <c r="G144">
        <f>IF($A144&gt;TODAY(),"",SUMIFS(Sales_Tbl[Count - العدد],Sales_Tbl[Date - التاريخ],$A144))</f>
        <v/>
      </c>
      <c r="H144">
        <f>IF($A144&gt;TODAY(),"",SUMIFS(Sales_Tbl[Count - العدد],Sales_Tbl[Status - الحالة],"Accepted - تم التنفيذ",Sales_Tbl[Date - التاريخ],$A144))</f>
        <v/>
      </c>
      <c r="I144">
        <f>IF($A144&gt;TODAY(),"",SUMIFS(Customer_Care_Tbl[Active - نشط],Customer_Care_Tbl[Date - التاريخ],$A144))</f>
        <v/>
      </c>
      <c r="J144">
        <f>IF($A144&gt;TODAY(),"",SUMIFS(Customer_Care_Tbl[Close - مغلق],Customer_Care_Tbl[Date - التاريخ],$A144))</f>
        <v/>
      </c>
    </row>
    <row r="145">
      <c r="A145">
        <f>A144+1</f>
        <v/>
      </c>
      <c r="B145">
        <f>IF($A145&gt;TODAY(),"",IFERROR(INDEX(Credit_KPIs_Tbl[Total Financing Amount],MATCH($A145,Credit_KPIs_Tbl[Date - التاريخ],0)),""))</f>
        <v/>
      </c>
      <c r="C145">
        <f>IF($A145&gt;TODAY(),"",IFERROR(INDEX(Credit_KPIs_Tbl[Today Financing Amount],MATCH($A145,Credit_KPIs_Tbl[Date - التاريخ],0)),""))</f>
        <v/>
      </c>
      <c r="D145">
        <f>IF($A145&gt;TODAY(),"",IFERROR(INDEX(Credit_KPIs_Tbl[Total Number Contracts],MATCH($A145,Credit_KPIs_Tbl[Date - التاريخ],0)),""))</f>
        <v/>
      </c>
      <c r="E145">
        <f>IF($A145&gt;TODAY(),"",IFERROR(INDEX(Credit_KPIs_Tbl[Cancelled],MATCH($A145,Credit_KPIs_Tbl[Date - التاريخ],0)),""))</f>
        <v/>
      </c>
      <c r="F145">
        <f>IF($A145&gt;TODAY(),"",SUMIFS(Collection_Summary_Tbl[Amount - المبلغ],Collection_Summary_Tbl[Item - البند],"الاجمالي",Collection_Summary_Tbl[Date To - الى],$A145))</f>
        <v/>
      </c>
      <c r="G145">
        <f>IF($A145&gt;TODAY(),"",SUMIFS(Sales_Tbl[Count - العدد],Sales_Tbl[Date - التاريخ],$A145))</f>
        <v/>
      </c>
      <c r="H145">
        <f>IF($A145&gt;TODAY(),"",SUMIFS(Sales_Tbl[Count - العدد],Sales_Tbl[Status - الحالة],"Accepted - تم التنفيذ",Sales_Tbl[Date - التاريخ],$A145))</f>
        <v/>
      </c>
      <c r="I145">
        <f>IF($A145&gt;TODAY(),"",SUMIFS(Customer_Care_Tbl[Active - نشط],Customer_Care_Tbl[Date - التاريخ],$A145))</f>
        <v/>
      </c>
      <c r="J145">
        <f>IF($A145&gt;TODAY(),"",SUMIFS(Customer_Care_Tbl[Close - مغلق],Customer_Care_Tbl[Date - التاريخ],$A145))</f>
        <v/>
      </c>
    </row>
    <row r="146">
      <c r="A146">
        <f>A145+1</f>
        <v/>
      </c>
      <c r="B146">
        <f>IF($A146&gt;TODAY(),"",IFERROR(INDEX(Credit_KPIs_Tbl[Total Financing Amount],MATCH($A146,Credit_KPIs_Tbl[Date - التاريخ],0)),""))</f>
        <v/>
      </c>
      <c r="C146">
        <f>IF($A146&gt;TODAY(),"",IFERROR(INDEX(Credit_KPIs_Tbl[Today Financing Amount],MATCH($A146,Credit_KPIs_Tbl[Date - التاريخ],0)),""))</f>
        <v/>
      </c>
      <c r="D146">
        <f>IF($A146&gt;TODAY(),"",IFERROR(INDEX(Credit_KPIs_Tbl[Total Number Contracts],MATCH($A146,Credit_KPIs_Tbl[Date - التاريخ],0)),""))</f>
        <v/>
      </c>
      <c r="E146">
        <f>IF($A146&gt;TODAY(),"",IFERROR(INDEX(Credit_KPIs_Tbl[Cancelled],MATCH($A146,Credit_KPIs_Tbl[Date - التاريخ],0)),""))</f>
        <v/>
      </c>
      <c r="F146">
        <f>IF($A146&gt;TODAY(),"",SUMIFS(Collection_Summary_Tbl[Amount - المبلغ],Collection_Summary_Tbl[Item - البند],"الاجمالي",Collection_Summary_Tbl[Date To - الى],$A146))</f>
        <v/>
      </c>
      <c r="G146">
        <f>IF($A146&gt;TODAY(),"",SUMIFS(Sales_Tbl[Count - العدد],Sales_Tbl[Date - التاريخ],$A146))</f>
        <v/>
      </c>
      <c r="H146">
        <f>IF($A146&gt;TODAY(),"",SUMIFS(Sales_Tbl[Count - العدد],Sales_Tbl[Status - الحالة],"Accepted - تم التنفيذ",Sales_Tbl[Date - التاريخ],$A146))</f>
        <v/>
      </c>
      <c r="I146">
        <f>IF($A146&gt;TODAY(),"",SUMIFS(Customer_Care_Tbl[Active - نشط],Customer_Care_Tbl[Date - التاريخ],$A146))</f>
        <v/>
      </c>
      <c r="J146">
        <f>IF($A146&gt;TODAY(),"",SUMIFS(Customer_Care_Tbl[Close - مغلق],Customer_Care_Tbl[Date - التاريخ],$A146))</f>
        <v/>
      </c>
    </row>
    <row r="147">
      <c r="A147">
        <f>A146+1</f>
        <v/>
      </c>
      <c r="B147">
        <f>IF($A147&gt;TODAY(),"",IFERROR(INDEX(Credit_KPIs_Tbl[Total Financing Amount],MATCH($A147,Credit_KPIs_Tbl[Date - التاريخ],0)),""))</f>
        <v/>
      </c>
      <c r="C147">
        <f>IF($A147&gt;TODAY(),"",IFERROR(INDEX(Credit_KPIs_Tbl[Today Financing Amount],MATCH($A147,Credit_KPIs_Tbl[Date - التاريخ],0)),""))</f>
        <v/>
      </c>
      <c r="D147">
        <f>IF($A147&gt;TODAY(),"",IFERROR(INDEX(Credit_KPIs_Tbl[Total Number Contracts],MATCH($A147,Credit_KPIs_Tbl[Date - التاريخ],0)),""))</f>
        <v/>
      </c>
      <c r="E147">
        <f>IF($A147&gt;TODAY(),"",IFERROR(INDEX(Credit_KPIs_Tbl[Cancelled],MATCH($A147,Credit_KPIs_Tbl[Date - التاريخ],0)),""))</f>
        <v/>
      </c>
      <c r="F147">
        <f>IF($A147&gt;TODAY(),"",SUMIFS(Collection_Summary_Tbl[Amount - المبلغ],Collection_Summary_Tbl[Item - البند],"الاجمالي",Collection_Summary_Tbl[Date To - الى],$A147))</f>
        <v/>
      </c>
      <c r="G147">
        <f>IF($A147&gt;TODAY(),"",SUMIFS(Sales_Tbl[Count - العدد],Sales_Tbl[Date - التاريخ],$A147))</f>
        <v/>
      </c>
      <c r="H147">
        <f>IF($A147&gt;TODAY(),"",SUMIFS(Sales_Tbl[Count - العدد],Sales_Tbl[Status - الحالة],"Accepted - تم التنفيذ",Sales_Tbl[Date - التاريخ],$A147))</f>
        <v/>
      </c>
      <c r="I147">
        <f>IF($A147&gt;TODAY(),"",SUMIFS(Customer_Care_Tbl[Active - نشط],Customer_Care_Tbl[Date - التاريخ],$A147))</f>
        <v/>
      </c>
      <c r="J147">
        <f>IF($A147&gt;TODAY(),"",SUMIFS(Customer_Care_Tbl[Close - مغلق],Customer_Care_Tbl[Date - التاريخ],$A147))</f>
        <v/>
      </c>
    </row>
    <row r="148">
      <c r="A148">
        <f>A147+1</f>
        <v/>
      </c>
      <c r="B148">
        <f>IF($A148&gt;TODAY(),"",IFERROR(INDEX(Credit_KPIs_Tbl[Total Financing Amount],MATCH($A148,Credit_KPIs_Tbl[Date - التاريخ],0)),""))</f>
        <v/>
      </c>
      <c r="C148">
        <f>IF($A148&gt;TODAY(),"",IFERROR(INDEX(Credit_KPIs_Tbl[Today Financing Amount],MATCH($A148,Credit_KPIs_Tbl[Date - التاريخ],0)),""))</f>
        <v/>
      </c>
      <c r="D148">
        <f>IF($A148&gt;TODAY(),"",IFERROR(INDEX(Credit_KPIs_Tbl[Total Number Contracts],MATCH($A148,Credit_KPIs_Tbl[Date - التاريخ],0)),""))</f>
        <v/>
      </c>
      <c r="E148">
        <f>IF($A148&gt;TODAY(),"",IFERROR(INDEX(Credit_KPIs_Tbl[Cancelled],MATCH($A148,Credit_KPIs_Tbl[Date - التاريخ],0)),""))</f>
        <v/>
      </c>
      <c r="F148">
        <f>IF($A148&gt;TODAY(),"",SUMIFS(Collection_Summary_Tbl[Amount - المبلغ],Collection_Summary_Tbl[Item - البند],"الاجمالي",Collection_Summary_Tbl[Date To - الى],$A148))</f>
        <v/>
      </c>
      <c r="G148">
        <f>IF($A148&gt;TODAY(),"",SUMIFS(Sales_Tbl[Count - العدد],Sales_Tbl[Date - التاريخ],$A148))</f>
        <v/>
      </c>
      <c r="H148">
        <f>IF($A148&gt;TODAY(),"",SUMIFS(Sales_Tbl[Count - العدد],Sales_Tbl[Status - الحالة],"Accepted - تم التنفيذ",Sales_Tbl[Date - التاريخ],$A148))</f>
        <v/>
      </c>
      <c r="I148">
        <f>IF($A148&gt;TODAY(),"",SUMIFS(Customer_Care_Tbl[Active - نشط],Customer_Care_Tbl[Date - التاريخ],$A148))</f>
        <v/>
      </c>
      <c r="J148">
        <f>IF($A148&gt;TODAY(),"",SUMIFS(Customer_Care_Tbl[Close - مغلق],Customer_Care_Tbl[Date - التاريخ],$A148))</f>
        <v/>
      </c>
    </row>
    <row r="149">
      <c r="A149">
        <f>A148+1</f>
        <v/>
      </c>
      <c r="B149">
        <f>IF($A149&gt;TODAY(),"",IFERROR(INDEX(Credit_KPIs_Tbl[Total Financing Amount],MATCH($A149,Credit_KPIs_Tbl[Date - التاريخ],0)),""))</f>
        <v/>
      </c>
      <c r="C149">
        <f>IF($A149&gt;TODAY(),"",IFERROR(INDEX(Credit_KPIs_Tbl[Today Financing Amount],MATCH($A149,Credit_KPIs_Tbl[Date - التاريخ],0)),""))</f>
        <v/>
      </c>
      <c r="D149">
        <f>IF($A149&gt;TODAY(),"",IFERROR(INDEX(Credit_KPIs_Tbl[Total Number Contracts],MATCH($A149,Credit_KPIs_Tbl[Date - التاريخ],0)),""))</f>
        <v/>
      </c>
      <c r="E149">
        <f>IF($A149&gt;TODAY(),"",IFERROR(INDEX(Credit_KPIs_Tbl[Cancelled],MATCH($A149,Credit_KPIs_Tbl[Date - التاريخ],0)),""))</f>
        <v/>
      </c>
      <c r="F149">
        <f>IF($A149&gt;TODAY(),"",SUMIFS(Collection_Summary_Tbl[Amount - المبلغ],Collection_Summary_Tbl[Item - البند],"الاجمالي",Collection_Summary_Tbl[Date To - الى],$A149))</f>
        <v/>
      </c>
      <c r="G149">
        <f>IF($A149&gt;TODAY(),"",SUMIFS(Sales_Tbl[Count - العدد],Sales_Tbl[Date - التاريخ],$A149))</f>
        <v/>
      </c>
      <c r="H149">
        <f>IF($A149&gt;TODAY(),"",SUMIFS(Sales_Tbl[Count - العدد],Sales_Tbl[Status - الحالة],"Accepted - تم التنفيذ",Sales_Tbl[Date - التاريخ],$A149))</f>
        <v/>
      </c>
      <c r="I149">
        <f>IF($A149&gt;TODAY(),"",SUMIFS(Customer_Care_Tbl[Active - نشط],Customer_Care_Tbl[Date - التاريخ],$A149))</f>
        <v/>
      </c>
      <c r="J149">
        <f>IF($A149&gt;TODAY(),"",SUMIFS(Customer_Care_Tbl[Close - مغلق],Customer_Care_Tbl[Date - التاريخ],$A149))</f>
        <v/>
      </c>
    </row>
    <row r="150">
      <c r="A150">
        <f>A149+1</f>
        <v/>
      </c>
      <c r="B150">
        <f>IF($A150&gt;TODAY(),"",IFERROR(INDEX(Credit_KPIs_Tbl[Total Financing Amount],MATCH($A150,Credit_KPIs_Tbl[Date - التاريخ],0)),""))</f>
        <v/>
      </c>
      <c r="C150">
        <f>IF($A150&gt;TODAY(),"",IFERROR(INDEX(Credit_KPIs_Tbl[Today Financing Amount],MATCH($A150,Credit_KPIs_Tbl[Date - التاريخ],0)),""))</f>
        <v/>
      </c>
      <c r="D150">
        <f>IF($A150&gt;TODAY(),"",IFERROR(INDEX(Credit_KPIs_Tbl[Total Number Contracts],MATCH($A150,Credit_KPIs_Tbl[Date - التاريخ],0)),""))</f>
        <v/>
      </c>
      <c r="E150">
        <f>IF($A150&gt;TODAY(),"",IFERROR(INDEX(Credit_KPIs_Tbl[Cancelled],MATCH($A150,Credit_KPIs_Tbl[Date - التاريخ],0)),""))</f>
        <v/>
      </c>
      <c r="F150">
        <f>IF($A150&gt;TODAY(),"",SUMIFS(Collection_Summary_Tbl[Amount - المبلغ],Collection_Summary_Tbl[Item - البند],"الاجمالي",Collection_Summary_Tbl[Date To - الى],$A150))</f>
        <v/>
      </c>
      <c r="G150">
        <f>IF($A150&gt;TODAY(),"",SUMIFS(Sales_Tbl[Count - العدد],Sales_Tbl[Date - التاريخ],$A150))</f>
        <v/>
      </c>
      <c r="H150">
        <f>IF($A150&gt;TODAY(),"",SUMIFS(Sales_Tbl[Count - العدد],Sales_Tbl[Status - الحالة],"Accepted - تم التنفيذ",Sales_Tbl[Date - التاريخ],$A150))</f>
        <v/>
      </c>
      <c r="I150">
        <f>IF($A150&gt;TODAY(),"",SUMIFS(Customer_Care_Tbl[Active - نشط],Customer_Care_Tbl[Date - التاريخ],$A150))</f>
        <v/>
      </c>
      <c r="J150">
        <f>IF($A150&gt;TODAY(),"",SUMIFS(Customer_Care_Tbl[Close - مغلق],Customer_Care_Tbl[Date - التاريخ],$A150))</f>
        <v/>
      </c>
    </row>
    <row r="151">
      <c r="A151">
        <f>A150+1</f>
        <v/>
      </c>
      <c r="B151">
        <f>IF($A151&gt;TODAY(),"",IFERROR(INDEX(Credit_KPIs_Tbl[Total Financing Amount],MATCH($A151,Credit_KPIs_Tbl[Date - التاريخ],0)),""))</f>
        <v/>
      </c>
      <c r="C151">
        <f>IF($A151&gt;TODAY(),"",IFERROR(INDEX(Credit_KPIs_Tbl[Today Financing Amount],MATCH($A151,Credit_KPIs_Tbl[Date - التاريخ],0)),""))</f>
        <v/>
      </c>
      <c r="D151">
        <f>IF($A151&gt;TODAY(),"",IFERROR(INDEX(Credit_KPIs_Tbl[Total Number Contracts],MATCH($A151,Credit_KPIs_Tbl[Date - التاريخ],0)),""))</f>
        <v/>
      </c>
      <c r="E151">
        <f>IF($A151&gt;TODAY(),"",IFERROR(INDEX(Credit_KPIs_Tbl[Cancelled],MATCH($A151,Credit_KPIs_Tbl[Date - التاريخ],0)),""))</f>
        <v/>
      </c>
      <c r="F151">
        <f>IF($A151&gt;TODAY(),"",SUMIFS(Collection_Summary_Tbl[Amount - المبلغ],Collection_Summary_Tbl[Item - البند],"الاجمالي",Collection_Summary_Tbl[Date To - الى],$A151))</f>
        <v/>
      </c>
      <c r="G151">
        <f>IF($A151&gt;TODAY(),"",SUMIFS(Sales_Tbl[Count - العدد],Sales_Tbl[Date - التاريخ],$A151))</f>
        <v/>
      </c>
      <c r="H151">
        <f>IF($A151&gt;TODAY(),"",SUMIFS(Sales_Tbl[Count - العدد],Sales_Tbl[Status - الحالة],"Accepted - تم التنفيذ",Sales_Tbl[Date - التاريخ],$A151))</f>
        <v/>
      </c>
      <c r="I151">
        <f>IF($A151&gt;TODAY(),"",SUMIFS(Customer_Care_Tbl[Active - نشط],Customer_Care_Tbl[Date - التاريخ],$A151))</f>
        <v/>
      </c>
      <c r="J151">
        <f>IF($A151&gt;TODAY(),"",SUMIFS(Customer_Care_Tbl[Close - مغلق],Customer_Care_Tbl[Date - التاريخ],$A151))</f>
        <v/>
      </c>
    </row>
    <row r="152">
      <c r="A152">
        <f>A151+1</f>
        <v/>
      </c>
      <c r="B152">
        <f>IF($A152&gt;TODAY(),"",IFERROR(INDEX(Credit_KPIs_Tbl[Total Financing Amount],MATCH($A152,Credit_KPIs_Tbl[Date - التاريخ],0)),""))</f>
        <v/>
      </c>
      <c r="C152">
        <f>IF($A152&gt;TODAY(),"",IFERROR(INDEX(Credit_KPIs_Tbl[Today Financing Amount],MATCH($A152,Credit_KPIs_Tbl[Date - التاريخ],0)),""))</f>
        <v/>
      </c>
      <c r="D152">
        <f>IF($A152&gt;TODAY(),"",IFERROR(INDEX(Credit_KPIs_Tbl[Total Number Contracts],MATCH($A152,Credit_KPIs_Tbl[Date - التاريخ],0)),""))</f>
        <v/>
      </c>
      <c r="E152">
        <f>IF($A152&gt;TODAY(),"",IFERROR(INDEX(Credit_KPIs_Tbl[Cancelled],MATCH($A152,Credit_KPIs_Tbl[Date - التاريخ],0)),""))</f>
        <v/>
      </c>
      <c r="F152">
        <f>IF($A152&gt;TODAY(),"",SUMIFS(Collection_Summary_Tbl[Amount - المبلغ],Collection_Summary_Tbl[Item - البند],"الاجمالي",Collection_Summary_Tbl[Date To - الى],$A152))</f>
        <v/>
      </c>
      <c r="G152">
        <f>IF($A152&gt;TODAY(),"",SUMIFS(Sales_Tbl[Count - العدد],Sales_Tbl[Date - التاريخ],$A152))</f>
        <v/>
      </c>
      <c r="H152">
        <f>IF($A152&gt;TODAY(),"",SUMIFS(Sales_Tbl[Count - العدد],Sales_Tbl[Status - الحالة],"Accepted - تم التنفيذ",Sales_Tbl[Date - التاريخ],$A152))</f>
        <v/>
      </c>
      <c r="I152">
        <f>IF($A152&gt;TODAY(),"",SUMIFS(Customer_Care_Tbl[Active - نشط],Customer_Care_Tbl[Date - التاريخ],$A152))</f>
        <v/>
      </c>
      <c r="J152">
        <f>IF($A152&gt;TODAY(),"",SUMIFS(Customer_Care_Tbl[Close - مغلق],Customer_Care_Tbl[Date - التاريخ],$A152))</f>
        <v/>
      </c>
    </row>
    <row r="153">
      <c r="A153">
        <f>A152+1</f>
        <v/>
      </c>
      <c r="B153">
        <f>IF($A153&gt;TODAY(),"",IFERROR(INDEX(Credit_KPIs_Tbl[Total Financing Amount],MATCH($A153,Credit_KPIs_Tbl[Date - التاريخ],0)),""))</f>
        <v/>
      </c>
      <c r="C153">
        <f>IF($A153&gt;TODAY(),"",IFERROR(INDEX(Credit_KPIs_Tbl[Today Financing Amount],MATCH($A153,Credit_KPIs_Tbl[Date - التاريخ],0)),""))</f>
        <v/>
      </c>
      <c r="D153">
        <f>IF($A153&gt;TODAY(),"",IFERROR(INDEX(Credit_KPIs_Tbl[Total Number Contracts],MATCH($A153,Credit_KPIs_Tbl[Date - التاريخ],0)),""))</f>
        <v/>
      </c>
      <c r="E153">
        <f>IF($A153&gt;TODAY(),"",IFERROR(INDEX(Credit_KPIs_Tbl[Cancelled],MATCH($A153,Credit_KPIs_Tbl[Date - التاريخ],0)),""))</f>
        <v/>
      </c>
      <c r="F153">
        <f>IF($A153&gt;TODAY(),"",SUMIFS(Collection_Summary_Tbl[Amount - المبلغ],Collection_Summary_Tbl[Item - البند],"الاجمالي",Collection_Summary_Tbl[Date To - الى],$A153))</f>
        <v/>
      </c>
      <c r="G153">
        <f>IF($A153&gt;TODAY(),"",SUMIFS(Sales_Tbl[Count - العدد],Sales_Tbl[Date - التاريخ],$A153))</f>
        <v/>
      </c>
      <c r="H153">
        <f>IF($A153&gt;TODAY(),"",SUMIFS(Sales_Tbl[Count - العدد],Sales_Tbl[Status - الحالة],"Accepted - تم التنفيذ",Sales_Tbl[Date - التاريخ],$A153))</f>
        <v/>
      </c>
      <c r="I153">
        <f>IF($A153&gt;TODAY(),"",SUMIFS(Customer_Care_Tbl[Active - نشط],Customer_Care_Tbl[Date - التاريخ],$A153))</f>
        <v/>
      </c>
      <c r="J153">
        <f>IF($A153&gt;TODAY(),"",SUMIFS(Customer_Care_Tbl[Close - مغلق],Customer_Care_Tbl[Date - التاريخ],$A153))</f>
        <v/>
      </c>
    </row>
    <row r="154">
      <c r="A154">
        <f>A153+1</f>
        <v/>
      </c>
      <c r="B154">
        <f>IF($A154&gt;TODAY(),"",IFERROR(INDEX(Credit_KPIs_Tbl[Total Financing Amount],MATCH($A154,Credit_KPIs_Tbl[Date - التاريخ],0)),""))</f>
        <v/>
      </c>
      <c r="C154">
        <f>IF($A154&gt;TODAY(),"",IFERROR(INDEX(Credit_KPIs_Tbl[Today Financing Amount],MATCH($A154,Credit_KPIs_Tbl[Date - التاريخ],0)),""))</f>
        <v/>
      </c>
      <c r="D154">
        <f>IF($A154&gt;TODAY(),"",IFERROR(INDEX(Credit_KPIs_Tbl[Total Number Contracts],MATCH($A154,Credit_KPIs_Tbl[Date - التاريخ],0)),""))</f>
        <v/>
      </c>
      <c r="E154">
        <f>IF($A154&gt;TODAY(),"",IFERROR(INDEX(Credit_KPIs_Tbl[Cancelled],MATCH($A154,Credit_KPIs_Tbl[Date - التاريخ],0)),""))</f>
        <v/>
      </c>
      <c r="F154">
        <f>IF($A154&gt;TODAY(),"",SUMIFS(Collection_Summary_Tbl[Amount - المبلغ],Collection_Summary_Tbl[Item - البند],"الاجمالي",Collection_Summary_Tbl[Date To - الى],$A154))</f>
        <v/>
      </c>
      <c r="G154">
        <f>IF($A154&gt;TODAY(),"",SUMIFS(Sales_Tbl[Count - العدد],Sales_Tbl[Date - التاريخ],$A154))</f>
        <v/>
      </c>
      <c r="H154">
        <f>IF($A154&gt;TODAY(),"",SUMIFS(Sales_Tbl[Count - العدد],Sales_Tbl[Status - الحالة],"Accepted - تم التنفيذ",Sales_Tbl[Date - التاريخ],$A154))</f>
        <v/>
      </c>
      <c r="I154">
        <f>IF($A154&gt;TODAY(),"",SUMIFS(Customer_Care_Tbl[Active - نشط],Customer_Care_Tbl[Date - التاريخ],$A154))</f>
        <v/>
      </c>
      <c r="J154">
        <f>IF($A154&gt;TODAY(),"",SUMIFS(Customer_Care_Tbl[Close - مغلق],Customer_Care_Tbl[Date - التاريخ],$A154))</f>
        <v/>
      </c>
    </row>
    <row r="155">
      <c r="A155">
        <f>A154+1</f>
        <v/>
      </c>
      <c r="B155">
        <f>IF($A155&gt;TODAY(),"",IFERROR(INDEX(Credit_KPIs_Tbl[Total Financing Amount],MATCH($A155,Credit_KPIs_Tbl[Date - التاريخ],0)),""))</f>
        <v/>
      </c>
      <c r="C155">
        <f>IF($A155&gt;TODAY(),"",IFERROR(INDEX(Credit_KPIs_Tbl[Today Financing Amount],MATCH($A155,Credit_KPIs_Tbl[Date - التاريخ],0)),""))</f>
        <v/>
      </c>
      <c r="D155">
        <f>IF($A155&gt;TODAY(),"",IFERROR(INDEX(Credit_KPIs_Tbl[Total Number Contracts],MATCH($A155,Credit_KPIs_Tbl[Date - التاريخ],0)),""))</f>
        <v/>
      </c>
      <c r="E155">
        <f>IF($A155&gt;TODAY(),"",IFERROR(INDEX(Credit_KPIs_Tbl[Cancelled],MATCH($A155,Credit_KPIs_Tbl[Date - التاريخ],0)),""))</f>
        <v/>
      </c>
      <c r="F155">
        <f>IF($A155&gt;TODAY(),"",SUMIFS(Collection_Summary_Tbl[Amount - المبلغ],Collection_Summary_Tbl[Item - البند],"الاجمالي",Collection_Summary_Tbl[Date To - الى],$A155))</f>
        <v/>
      </c>
      <c r="G155">
        <f>IF($A155&gt;TODAY(),"",SUMIFS(Sales_Tbl[Count - العدد],Sales_Tbl[Date - التاريخ],$A155))</f>
        <v/>
      </c>
      <c r="H155">
        <f>IF($A155&gt;TODAY(),"",SUMIFS(Sales_Tbl[Count - العدد],Sales_Tbl[Status - الحالة],"Accepted - تم التنفيذ",Sales_Tbl[Date - التاريخ],$A155))</f>
        <v/>
      </c>
      <c r="I155">
        <f>IF($A155&gt;TODAY(),"",SUMIFS(Customer_Care_Tbl[Active - نشط],Customer_Care_Tbl[Date - التاريخ],$A155))</f>
        <v/>
      </c>
      <c r="J155">
        <f>IF($A155&gt;TODAY(),"",SUMIFS(Customer_Care_Tbl[Close - مغلق],Customer_Care_Tbl[Date - التاريخ],$A155))</f>
        <v/>
      </c>
    </row>
    <row r="156">
      <c r="A156">
        <f>A155+1</f>
        <v/>
      </c>
      <c r="B156">
        <f>IF($A156&gt;TODAY(),"",IFERROR(INDEX(Credit_KPIs_Tbl[Total Financing Amount],MATCH($A156,Credit_KPIs_Tbl[Date - التاريخ],0)),""))</f>
        <v/>
      </c>
      <c r="C156">
        <f>IF($A156&gt;TODAY(),"",IFERROR(INDEX(Credit_KPIs_Tbl[Today Financing Amount],MATCH($A156,Credit_KPIs_Tbl[Date - التاريخ],0)),""))</f>
        <v/>
      </c>
      <c r="D156">
        <f>IF($A156&gt;TODAY(),"",IFERROR(INDEX(Credit_KPIs_Tbl[Total Number Contracts],MATCH($A156,Credit_KPIs_Tbl[Date - التاريخ],0)),""))</f>
        <v/>
      </c>
      <c r="E156">
        <f>IF($A156&gt;TODAY(),"",IFERROR(INDEX(Credit_KPIs_Tbl[Cancelled],MATCH($A156,Credit_KPIs_Tbl[Date - التاريخ],0)),""))</f>
        <v/>
      </c>
      <c r="F156">
        <f>IF($A156&gt;TODAY(),"",SUMIFS(Collection_Summary_Tbl[Amount - المبلغ],Collection_Summary_Tbl[Item - البند],"الاجمالي",Collection_Summary_Tbl[Date To - الى],$A156))</f>
        <v/>
      </c>
      <c r="G156">
        <f>IF($A156&gt;TODAY(),"",SUMIFS(Sales_Tbl[Count - العدد],Sales_Tbl[Date - التاريخ],$A156))</f>
        <v/>
      </c>
      <c r="H156">
        <f>IF($A156&gt;TODAY(),"",SUMIFS(Sales_Tbl[Count - العدد],Sales_Tbl[Status - الحالة],"Accepted - تم التنفيذ",Sales_Tbl[Date - التاريخ],$A156))</f>
        <v/>
      </c>
      <c r="I156">
        <f>IF($A156&gt;TODAY(),"",SUMIFS(Customer_Care_Tbl[Active - نشط],Customer_Care_Tbl[Date - التاريخ],$A156))</f>
        <v/>
      </c>
      <c r="J156">
        <f>IF($A156&gt;TODAY(),"",SUMIFS(Customer_Care_Tbl[Close - مغلق],Customer_Care_Tbl[Date - التاريخ],$A156))</f>
        <v/>
      </c>
    </row>
    <row r="157">
      <c r="A157">
        <f>A156+1</f>
        <v/>
      </c>
      <c r="B157">
        <f>IF($A157&gt;TODAY(),"",IFERROR(INDEX(Credit_KPIs_Tbl[Total Financing Amount],MATCH($A157,Credit_KPIs_Tbl[Date - التاريخ],0)),""))</f>
        <v/>
      </c>
      <c r="C157">
        <f>IF($A157&gt;TODAY(),"",IFERROR(INDEX(Credit_KPIs_Tbl[Today Financing Amount],MATCH($A157,Credit_KPIs_Tbl[Date - التاريخ],0)),""))</f>
        <v/>
      </c>
      <c r="D157">
        <f>IF($A157&gt;TODAY(),"",IFERROR(INDEX(Credit_KPIs_Tbl[Total Number Contracts],MATCH($A157,Credit_KPIs_Tbl[Date - التاريخ],0)),""))</f>
        <v/>
      </c>
      <c r="E157">
        <f>IF($A157&gt;TODAY(),"",IFERROR(INDEX(Credit_KPIs_Tbl[Cancelled],MATCH($A157,Credit_KPIs_Tbl[Date - التاريخ],0)),""))</f>
        <v/>
      </c>
      <c r="F157">
        <f>IF($A157&gt;TODAY(),"",SUMIFS(Collection_Summary_Tbl[Amount - المبلغ],Collection_Summary_Tbl[Item - البند],"الاجمالي",Collection_Summary_Tbl[Date To - الى],$A157))</f>
        <v/>
      </c>
      <c r="G157">
        <f>IF($A157&gt;TODAY(),"",SUMIFS(Sales_Tbl[Count - العدد],Sales_Tbl[Date - التاريخ],$A157))</f>
        <v/>
      </c>
      <c r="H157">
        <f>IF($A157&gt;TODAY(),"",SUMIFS(Sales_Tbl[Count - العدد],Sales_Tbl[Status - الحالة],"Accepted - تم التنفيذ",Sales_Tbl[Date - التاريخ],$A157))</f>
        <v/>
      </c>
      <c r="I157">
        <f>IF($A157&gt;TODAY(),"",SUMIFS(Customer_Care_Tbl[Active - نشط],Customer_Care_Tbl[Date - التاريخ],$A157))</f>
        <v/>
      </c>
      <c r="J157">
        <f>IF($A157&gt;TODAY(),"",SUMIFS(Customer_Care_Tbl[Close - مغلق],Customer_Care_Tbl[Date - التاريخ],$A157))</f>
        <v/>
      </c>
    </row>
    <row r="158">
      <c r="A158">
        <f>A157+1</f>
        <v/>
      </c>
      <c r="B158">
        <f>IF($A158&gt;TODAY(),"",IFERROR(INDEX(Credit_KPIs_Tbl[Total Financing Amount],MATCH($A158,Credit_KPIs_Tbl[Date - التاريخ],0)),""))</f>
        <v/>
      </c>
      <c r="C158">
        <f>IF($A158&gt;TODAY(),"",IFERROR(INDEX(Credit_KPIs_Tbl[Today Financing Amount],MATCH($A158,Credit_KPIs_Tbl[Date - التاريخ],0)),""))</f>
        <v/>
      </c>
      <c r="D158">
        <f>IF($A158&gt;TODAY(),"",IFERROR(INDEX(Credit_KPIs_Tbl[Total Number Contracts],MATCH($A158,Credit_KPIs_Tbl[Date - التاريخ],0)),""))</f>
        <v/>
      </c>
      <c r="E158">
        <f>IF($A158&gt;TODAY(),"",IFERROR(INDEX(Credit_KPIs_Tbl[Cancelled],MATCH($A158,Credit_KPIs_Tbl[Date - التاريخ],0)),""))</f>
        <v/>
      </c>
      <c r="F158">
        <f>IF($A158&gt;TODAY(),"",SUMIFS(Collection_Summary_Tbl[Amount - المبلغ],Collection_Summary_Tbl[Item - البند],"الاجمالي",Collection_Summary_Tbl[Date To - الى],$A158))</f>
        <v/>
      </c>
      <c r="G158">
        <f>IF($A158&gt;TODAY(),"",SUMIFS(Sales_Tbl[Count - العدد],Sales_Tbl[Date - التاريخ],$A158))</f>
        <v/>
      </c>
      <c r="H158">
        <f>IF($A158&gt;TODAY(),"",SUMIFS(Sales_Tbl[Count - العدد],Sales_Tbl[Status - الحالة],"Accepted - تم التنفيذ",Sales_Tbl[Date - التاريخ],$A158))</f>
        <v/>
      </c>
      <c r="I158">
        <f>IF($A158&gt;TODAY(),"",SUMIFS(Customer_Care_Tbl[Active - نشط],Customer_Care_Tbl[Date - التاريخ],$A158))</f>
        <v/>
      </c>
      <c r="J158">
        <f>IF($A158&gt;TODAY(),"",SUMIFS(Customer_Care_Tbl[Close - مغلق],Customer_Care_Tbl[Date - التاريخ],$A158))</f>
        <v/>
      </c>
    </row>
    <row r="159">
      <c r="A159">
        <f>A158+1</f>
        <v/>
      </c>
      <c r="B159">
        <f>IF($A159&gt;TODAY(),"",IFERROR(INDEX(Credit_KPIs_Tbl[Total Financing Amount],MATCH($A159,Credit_KPIs_Tbl[Date - التاريخ],0)),""))</f>
        <v/>
      </c>
      <c r="C159">
        <f>IF($A159&gt;TODAY(),"",IFERROR(INDEX(Credit_KPIs_Tbl[Today Financing Amount],MATCH($A159,Credit_KPIs_Tbl[Date - التاريخ],0)),""))</f>
        <v/>
      </c>
      <c r="D159">
        <f>IF($A159&gt;TODAY(),"",IFERROR(INDEX(Credit_KPIs_Tbl[Total Number Contracts],MATCH($A159,Credit_KPIs_Tbl[Date - التاريخ],0)),""))</f>
        <v/>
      </c>
      <c r="E159">
        <f>IF($A159&gt;TODAY(),"",IFERROR(INDEX(Credit_KPIs_Tbl[Cancelled],MATCH($A159,Credit_KPIs_Tbl[Date - التاريخ],0)),""))</f>
        <v/>
      </c>
      <c r="F159">
        <f>IF($A159&gt;TODAY(),"",SUMIFS(Collection_Summary_Tbl[Amount - المبلغ],Collection_Summary_Tbl[Item - البند],"الاجمالي",Collection_Summary_Tbl[Date To - الى],$A159))</f>
        <v/>
      </c>
      <c r="G159">
        <f>IF($A159&gt;TODAY(),"",SUMIFS(Sales_Tbl[Count - العدد],Sales_Tbl[Date - التاريخ],$A159))</f>
        <v/>
      </c>
      <c r="H159">
        <f>IF($A159&gt;TODAY(),"",SUMIFS(Sales_Tbl[Count - العدد],Sales_Tbl[Status - الحالة],"Accepted - تم التنفيذ",Sales_Tbl[Date - التاريخ],$A159))</f>
        <v/>
      </c>
      <c r="I159">
        <f>IF($A159&gt;TODAY(),"",SUMIFS(Customer_Care_Tbl[Active - نشط],Customer_Care_Tbl[Date - التاريخ],$A159))</f>
        <v/>
      </c>
      <c r="J159">
        <f>IF($A159&gt;TODAY(),"",SUMIFS(Customer_Care_Tbl[Close - مغلق],Customer_Care_Tbl[Date - التاريخ],$A159))</f>
        <v/>
      </c>
    </row>
    <row r="160">
      <c r="A160">
        <f>A159+1</f>
        <v/>
      </c>
      <c r="B160">
        <f>IF($A160&gt;TODAY(),"",IFERROR(INDEX(Credit_KPIs_Tbl[Total Financing Amount],MATCH($A160,Credit_KPIs_Tbl[Date - التاريخ],0)),""))</f>
        <v/>
      </c>
      <c r="C160">
        <f>IF($A160&gt;TODAY(),"",IFERROR(INDEX(Credit_KPIs_Tbl[Today Financing Amount],MATCH($A160,Credit_KPIs_Tbl[Date - التاريخ],0)),""))</f>
        <v/>
      </c>
      <c r="D160">
        <f>IF($A160&gt;TODAY(),"",IFERROR(INDEX(Credit_KPIs_Tbl[Total Number Contracts],MATCH($A160,Credit_KPIs_Tbl[Date - التاريخ],0)),""))</f>
        <v/>
      </c>
      <c r="E160">
        <f>IF($A160&gt;TODAY(),"",IFERROR(INDEX(Credit_KPIs_Tbl[Cancelled],MATCH($A160,Credit_KPIs_Tbl[Date - التاريخ],0)),""))</f>
        <v/>
      </c>
      <c r="F160">
        <f>IF($A160&gt;TODAY(),"",SUMIFS(Collection_Summary_Tbl[Amount - المبلغ],Collection_Summary_Tbl[Item - البند],"الاجمالي",Collection_Summary_Tbl[Date To - الى],$A160))</f>
        <v/>
      </c>
      <c r="G160">
        <f>IF($A160&gt;TODAY(),"",SUMIFS(Sales_Tbl[Count - العدد],Sales_Tbl[Date - التاريخ],$A160))</f>
        <v/>
      </c>
      <c r="H160">
        <f>IF($A160&gt;TODAY(),"",SUMIFS(Sales_Tbl[Count - العدد],Sales_Tbl[Status - الحالة],"Accepted - تم التنفيذ",Sales_Tbl[Date - التاريخ],$A160))</f>
        <v/>
      </c>
      <c r="I160">
        <f>IF($A160&gt;TODAY(),"",SUMIFS(Customer_Care_Tbl[Active - نشط],Customer_Care_Tbl[Date - التاريخ],$A160))</f>
        <v/>
      </c>
      <c r="J160">
        <f>IF($A160&gt;TODAY(),"",SUMIFS(Customer_Care_Tbl[Close - مغلق],Customer_Care_Tbl[Date - التاريخ],$A160))</f>
        <v/>
      </c>
    </row>
    <row r="161">
      <c r="A161">
        <f>A160+1</f>
        <v/>
      </c>
      <c r="B161">
        <f>IF($A161&gt;TODAY(),"",IFERROR(INDEX(Credit_KPIs_Tbl[Total Financing Amount],MATCH($A161,Credit_KPIs_Tbl[Date - التاريخ],0)),""))</f>
        <v/>
      </c>
      <c r="C161">
        <f>IF($A161&gt;TODAY(),"",IFERROR(INDEX(Credit_KPIs_Tbl[Today Financing Amount],MATCH($A161,Credit_KPIs_Tbl[Date - التاريخ],0)),""))</f>
        <v/>
      </c>
      <c r="D161">
        <f>IF($A161&gt;TODAY(),"",IFERROR(INDEX(Credit_KPIs_Tbl[Total Number Contracts],MATCH($A161,Credit_KPIs_Tbl[Date - التاريخ],0)),""))</f>
        <v/>
      </c>
      <c r="E161">
        <f>IF($A161&gt;TODAY(),"",IFERROR(INDEX(Credit_KPIs_Tbl[Cancelled],MATCH($A161,Credit_KPIs_Tbl[Date - التاريخ],0)),""))</f>
        <v/>
      </c>
      <c r="F161">
        <f>IF($A161&gt;TODAY(),"",SUMIFS(Collection_Summary_Tbl[Amount - المبلغ],Collection_Summary_Tbl[Item - البند],"الاجمالي",Collection_Summary_Tbl[Date To - الى],$A161))</f>
        <v/>
      </c>
      <c r="G161">
        <f>IF($A161&gt;TODAY(),"",SUMIFS(Sales_Tbl[Count - العدد],Sales_Tbl[Date - التاريخ],$A161))</f>
        <v/>
      </c>
      <c r="H161">
        <f>IF($A161&gt;TODAY(),"",SUMIFS(Sales_Tbl[Count - العدد],Sales_Tbl[Status - الحالة],"Accepted - تم التنفيذ",Sales_Tbl[Date - التاريخ],$A161))</f>
        <v/>
      </c>
      <c r="I161">
        <f>IF($A161&gt;TODAY(),"",SUMIFS(Customer_Care_Tbl[Active - نشط],Customer_Care_Tbl[Date - التاريخ],$A161))</f>
        <v/>
      </c>
      <c r="J161">
        <f>IF($A161&gt;TODAY(),"",SUMIFS(Customer_Care_Tbl[Close - مغلق],Customer_Care_Tbl[Date - التاريخ],$A161))</f>
        <v/>
      </c>
    </row>
    <row r="162">
      <c r="A162">
        <f>A161+1</f>
        <v/>
      </c>
      <c r="B162">
        <f>IF($A162&gt;TODAY(),"",IFERROR(INDEX(Credit_KPIs_Tbl[Total Financing Amount],MATCH($A162,Credit_KPIs_Tbl[Date - التاريخ],0)),""))</f>
        <v/>
      </c>
      <c r="C162">
        <f>IF($A162&gt;TODAY(),"",IFERROR(INDEX(Credit_KPIs_Tbl[Today Financing Amount],MATCH($A162,Credit_KPIs_Tbl[Date - التاريخ],0)),""))</f>
        <v/>
      </c>
      <c r="D162">
        <f>IF($A162&gt;TODAY(),"",IFERROR(INDEX(Credit_KPIs_Tbl[Total Number Contracts],MATCH($A162,Credit_KPIs_Tbl[Date - التاريخ],0)),""))</f>
        <v/>
      </c>
      <c r="E162">
        <f>IF($A162&gt;TODAY(),"",IFERROR(INDEX(Credit_KPIs_Tbl[Cancelled],MATCH($A162,Credit_KPIs_Tbl[Date - التاريخ],0)),""))</f>
        <v/>
      </c>
      <c r="F162">
        <f>IF($A162&gt;TODAY(),"",SUMIFS(Collection_Summary_Tbl[Amount - المبلغ],Collection_Summary_Tbl[Item - البند],"الاجمالي",Collection_Summary_Tbl[Date To - الى],$A162))</f>
        <v/>
      </c>
      <c r="G162">
        <f>IF($A162&gt;TODAY(),"",SUMIFS(Sales_Tbl[Count - العدد],Sales_Tbl[Date - التاريخ],$A162))</f>
        <v/>
      </c>
      <c r="H162">
        <f>IF($A162&gt;TODAY(),"",SUMIFS(Sales_Tbl[Count - العدد],Sales_Tbl[Status - الحالة],"Accepted - تم التنفيذ",Sales_Tbl[Date - التاريخ],$A162))</f>
        <v/>
      </c>
      <c r="I162">
        <f>IF($A162&gt;TODAY(),"",SUMIFS(Customer_Care_Tbl[Active - نشط],Customer_Care_Tbl[Date - التاريخ],$A162))</f>
        <v/>
      </c>
      <c r="J162">
        <f>IF($A162&gt;TODAY(),"",SUMIFS(Customer_Care_Tbl[Close - مغلق],Customer_Care_Tbl[Date - التاريخ],$A162))</f>
        <v/>
      </c>
    </row>
    <row r="163">
      <c r="A163">
        <f>A162+1</f>
        <v/>
      </c>
      <c r="B163">
        <f>IF($A163&gt;TODAY(),"",IFERROR(INDEX(Credit_KPIs_Tbl[Total Financing Amount],MATCH($A163,Credit_KPIs_Tbl[Date - التاريخ],0)),""))</f>
        <v/>
      </c>
      <c r="C163">
        <f>IF($A163&gt;TODAY(),"",IFERROR(INDEX(Credit_KPIs_Tbl[Today Financing Amount],MATCH($A163,Credit_KPIs_Tbl[Date - التاريخ],0)),""))</f>
        <v/>
      </c>
      <c r="D163">
        <f>IF($A163&gt;TODAY(),"",IFERROR(INDEX(Credit_KPIs_Tbl[Total Number Contracts],MATCH($A163,Credit_KPIs_Tbl[Date - التاريخ],0)),""))</f>
        <v/>
      </c>
      <c r="E163">
        <f>IF($A163&gt;TODAY(),"",IFERROR(INDEX(Credit_KPIs_Tbl[Cancelled],MATCH($A163,Credit_KPIs_Tbl[Date - التاريخ],0)),""))</f>
        <v/>
      </c>
      <c r="F163">
        <f>IF($A163&gt;TODAY(),"",SUMIFS(Collection_Summary_Tbl[Amount - المبلغ],Collection_Summary_Tbl[Item - البند],"الاجمالي",Collection_Summary_Tbl[Date To - الى],$A163))</f>
        <v/>
      </c>
      <c r="G163">
        <f>IF($A163&gt;TODAY(),"",SUMIFS(Sales_Tbl[Count - العدد],Sales_Tbl[Date - التاريخ],$A163))</f>
        <v/>
      </c>
      <c r="H163">
        <f>IF($A163&gt;TODAY(),"",SUMIFS(Sales_Tbl[Count - العدد],Sales_Tbl[Status - الحالة],"Accepted - تم التنفيذ",Sales_Tbl[Date - التاريخ],$A163))</f>
        <v/>
      </c>
      <c r="I163">
        <f>IF($A163&gt;TODAY(),"",SUMIFS(Customer_Care_Tbl[Active - نشط],Customer_Care_Tbl[Date - التاريخ],$A163))</f>
        <v/>
      </c>
      <c r="J163">
        <f>IF($A163&gt;TODAY(),"",SUMIFS(Customer_Care_Tbl[Close - مغلق],Customer_Care_Tbl[Date - التاريخ],$A163))</f>
        <v/>
      </c>
    </row>
    <row r="164">
      <c r="A164">
        <f>A163+1</f>
        <v/>
      </c>
      <c r="B164">
        <f>IF($A164&gt;TODAY(),"",IFERROR(INDEX(Credit_KPIs_Tbl[Total Financing Amount],MATCH($A164,Credit_KPIs_Tbl[Date - التاريخ],0)),""))</f>
        <v/>
      </c>
      <c r="C164">
        <f>IF($A164&gt;TODAY(),"",IFERROR(INDEX(Credit_KPIs_Tbl[Today Financing Amount],MATCH($A164,Credit_KPIs_Tbl[Date - التاريخ],0)),""))</f>
        <v/>
      </c>
      <c r="D164">
        <f>IF($A164&gt;TODAY(),"",IFERROR(INDEX(Credit_KPIs_Tbl[Total Number Contracts],MATCH($A164,Credit_KPIs_Tbl[Date - التاريخ],0)),""))</f>
        <v/>
      </c>
      <c r="E164">
        <f>IF($A164&gt;TODAY(),"",IFERROR(INDEX(Credit_KPIs_Tbl[Cancelled],MATCH($A164,Credit_KPIs_Tbl[Date - التاريخ],0)),""))</f>
        <v/>
      </c>
      <c r="F164">
        <f>IF($A164&gt;TODAY(),"",SUMIFS(Collection_Summary_Tbl[Amount - المبلغ],Collection_Summary_Tbl[Item - البند],"الاجمالي",Collection_Summary_Tbl[Date To - الى],$A164))</f>
        <v/>
      </c>
      <c r="G164">
        <f>IF($A164&gt;TODAY(),"",SUMIFS(Sales_Tbl[Count - العدد],Sales_Tbl[Date - التاريخ],$A164))</f>
        <v/>
      </c>
      <c r="H164">
        <f>IF($A164&gt;TODAY(),"",SUMIFS(Sales_Tbl[Count - العدد],Sales_Tbl[Status - الحالة],"Accepted - تم التنفيذ",Sales_Tbl[Date - التاريخ],$A164))</f>
        <v/>
      </c>
      <c r="I164">
        <f>IF($A164&gt;TODAY(),"",SUMIFS(Customer_Care_Tbl[Active - نشط],Customer_Care_Tbl[Date - التاريخ],$A164))</f>
        <v/>
      </c>
      <c r="J164">
        <f>IF($A164&gt;TODAY(),"",SUMIFS(Customer_Care_Tbl[Close - مغلق],Customer_Care_Tbl[Date - التاريخ],$A164))</f>
        <v/>
      </c>
    </row>
    <row r="165">
      <c r="A165">
        <f>A164+1</f>
        <v/>
      </c>
      <c r="B165">
        <f>IF($A165&gt;TODAY(),"",IFERROR(INDEX(Credit_KPIs_Tbl[Total Financing Amount],MATCH($A165,Credit_KPIs_Tbl[Date - التاريخ],0)),""))</f>
        <v/>
      </c>
      <c r="C165">
        <f>IF($A165&gt;TODAY(),"",IFERROR(INDEX(Credit_KPIs_Tbl[Today Financing Amount],MATCH($A165,Credit_KPIs_Tbl[Date - التاريخ],0)),""))</f>
        <v/>
      </c>
      <c r="D165">
        <f>IF($A165&gt;TODAY(),"",IFERROR(INDEX(Credit_KPIs_Tbl[Total Number Contracts],MATCH($A165,Credit_KPIs_Tbl[Date - التاريخ],0)),""))</f>
        <v/>
      </c>
      <c r="E165">
        <f>IF($A165&gt;TODAY(),"",IFERROR(INDEX(Credit_KPIs_Tbl[Cancelled],MATCH($A165,Credit_KPIs_Tbl[Date - التاريخ],0)),""))</f>
        <v/>
      </c>
      <c r="F165">
        <f>IF($A165&gt;TODAY(),"",SUMIFS(Collection_Summary_Tbl[Amount - المبلغ],Collection_Summary_Tbl[Item - البند],"الاجمالي",Collection_Summary_Tbl[Date To - الى],$A165))</f>
        <v/>
      </c>
      <c r="G165">
        <f>IF($A165&gt;TODAY(),"",SUMIFS(Sales_Tbl[Count - العدد],Sales_Tbl[Date - التاريخ],$A165))</f>
        <v/>
      </c>
      <c r="H165">
        <f>IF($A165&gt;TODAY(),"",SUMIFS(Sales_Tbl[Count - العدد],Sales_Tbl[Status - الحالة],"Accepted - تم التنفيذ",Sales_Tbl[Date - التاريخ],$A165))</f>
        <v/>
      </c>
      <c r="I165">
        <f>IF($A165&gt;TODAY(),"",SUMIFS(Customer_Care_Tbl[Active - نشط],Customer_Care_Tbl[Date - التاريخ],$A165))</f>
        <v/>
      </c>
      <c r="J165">
        <f>IF($A165&gt;TODAY(),"",SUMIFS(Customer_Care_Tbl[Close - مغلق],Customer_Care_Tbl[Date - التاريخ],$A165))</f>
        <v/>
      </c>
    </row>
    <row r="166">
      <c r="A166">
        <f>A165+1</f>
        <v/>
      </c>
      <c r="B166">
        <f>IF($A166&gt;TODAY(),"",IFERROR(INDEX(Credit_KPIs_Tbl[Total Financing Amount],MATCH($A166,Credit_KPIs_Tbl[Date - التاريخ],0)),""))</f>
        <v/>
      </c>
      <c r="C166">
        <f>IF($A166&gt;TODAY(),"",IFERROR(INDEX(Credit_KPIs_Tbl[Today Financing Amount],MATCH($A166,Credit_KPIs_Tbl[Date - التاريخ],0)),""))</f>
        <v/>
      </c>
      <c r="D166">
        <f>IF($A166&gt;TODAY(),"",IFERROR(INDEX(Credit_KPIs_Tbl[Total Number Contracts],MATCH($A166,Credit_KPIs_Tbl[Date - التاريخ],0)),""))</f>
        <v/>
      </c>
      <c r="E166">
        <f>IF($A166&gt;TODAY(),"",IFERROR(INDEX(Credit_KPIs_Tbl[Cancelled],MATCH($A166,Credit_KPIs_Tbl[Date - التاريخ],0)),""))</f>
        <v/>
      </c>
      <c r="F166">
        <f>IF($A166&gt;TODAY(),"",SUMIFS(Collection_Summary_Tbl[Amount - المبلغ],Collection_Summary_Tbl[Item - البند],"الاجمالي",Collection_Summary_Tbl[Date To - الى],$A166))</f>
        <v/>
      </c>
      <c r="G166">
        <f>IF($A166&gt;TODAY(),"",SUMIFS(Sales_Tbl[Count - العدد],Sales_Tbl[Date - التاريخ],$A166))</f>
        <v/>
      </c>
      <c r="H166">
        <f>IF($A166&gt;TODAY(),"",SUMIFS(Sales_Tbl[Count - العدد],Sales_Tbl[Status - الحالة],"Accepted - تم التنفيذ",Sales_Tbl[Date - التاريخ],$A166))</f>
        <v/>
      </c>
      <c r="I166">
        <f>IF($A166&gt;TODAY(),"",SUMIFS(Customer_Care_Tbl[Active - نشط],Customer_Care_Tbl[Date - التاريخ],$A166))</f>
        <v/>
      </c>
      <c r="J166">
        <f>IF($A166&gt;TODAY(),"",SUMIFS(Customer_Care_Tbl[Close - مغلق],Customer_Care_Tbl[Date - التاريخ],$A166))</f>
        <v/>
      </c>
    </row>
    <row r="167">
      <c r="A167">
        <f>A166+1</f>
        <v/>
      </c>
      <c r="B167">
        <f>IF($A167&gt;TODAY(),"",IFERROR(INDEX(Credit_KPIs_Tbl[Total Financing Amount],MATCH($A167,Credit_KPIs_Tbl[Date - التاريخ],0)),""))</f>
        <v/>
      </c>
      <c r="C167">
        <f>IF($A167&gt;TODAY(),"",IFERROR(INDEX(Credit_KPIs_Tbl[Today Financing Amount],MATCH($A167,Credit_KPIs_Tbl[Date - التاريخ],0)),""))</f>
        <v/>
      </c>
      <c r="D167">
        <f>IF($A167&gt;TODAY(),"",IFERROR(INDEX(Credit_KPIs_Tbl[Total Number Contracts],MATCH($A167,Credit_KPIs_Tbl[Date - التاريخ],0)),""))</f>
        <v/>
      </c>
      <c r="E167">
        <f>IF($A167&gt;TODAY(),"",IFERROR(INDEX(Credit_KPIs_Tbl[Cancelled],MATCH($A167,Credit_KPIs_Tbl[Date - التاريخ],0)),""))</f>
        <v/>
      </c>
      <c r="F167">
        <f>IF($A167&gt;TODAY(),"",SUMIFS(Collection_Summary_Tbl[Amount - المبلغ],Collection_Summary_Tbl[Item - البند],"الاجمالي",Collection_Summary_Tbl[Date To - الى],$A167))</f>
        <v/>
      </c>
      <c r="G167">
        <f>IF($A167&gt;TODAY(),"",SUMIFS(Sales_Tbl[Count - العدد],Sales_Tbl[Date - التاريخ],$A167))</f>
        <v/>
      </c>
      <c r="H167">
        <f>IF($A167&gt;TODAY(),"",SUMIFS(Sales_Tbl[Count - العدد],Sales_Tbl[Status - الحالة],"Accepted - تم التنفيذ",Sales_Tbl[Date - التاريخ],$A167))</f>
        <v/>
      </c>
      <c r="I167">
        <f>IF($A167&gt;TODAY(),"",SUMIFS(Customer_Care_Tbl[Active - نشط],Customer_Care_Tbl[Date - التاريخ],$A167))</f>
        <v/>
      </c>
      <c r="J167">
        <f>IF($A167&gt;TODAY(),"",SUMIFS(Customer_Care_Tbl[Close - مغلق],Customer_Care_Tbl[Date - التاريخ],$A167))</f>
        <v/>
      </c>
    </row>
    <row r="168">
      <c r="A168">
        <f>A167+1</f>
        <v/>
      </c>
      <c r="B168">
        <f>IF($A168&gt;TODAY(),"",IFERROR(INDEX(Credit_KPIs_Tbl[Total Financing Amount],MATCH($A168,Credit_KPIs_Tbl[Date - التاريخ],0)),""))</f>
        <v/>
      </c>
      <c r="C168">
        <f>IF($A168&gt;TODAY(),"",IFERROR(INDEX(Credit_KPIs_Tbl[Today Financing Amount],MATCH($A168,Credit_KPIs_Tbl[Date - التاريخ],0)),""))</f>
        <v/>
      </c>
      <c r="D168">
        <f>IF($A168&gt;TODAY(),"",IFERROR(INDEX(Credit_KPIs_Tbl[Total Number Contracts],MATCH($A168,Credit_KPIs_Tbl[Date - التاريخ],0)),""))</f>
        <v/>
      </c>
      <c r="E168">
        <f>IF($A168&gt;TODAY(),"",IFERROR(INDEX(Credit_KPIs_Tbl[Cancelled],MATCH($A168,Credit_KPIs_Tbl[Date - التاريخ],0)),""))</f>
        <v/>
      </c>
      <c r="F168">
        <f>IF($A168&gt;TODAY(),"",SUMIFS(Collection_Summary_Tbl[Amount - المبلغ],Collection_Summary_Tbl[Item - البند],"الاجمالي",Collection_Summary_Tbl[Date To - الى],$A168))</f>
        <v/>
      </c>
      <c r="G168">
        <f>IF($A168&gt;TODAY(),"",SUMIFS(Sales_Tbl[Count - العدد],Sales_Tbl[Date - التاريخ],$A168))</f>
        <v/>
      </c>
      <c r="H168">
        <f>IF($A168&gt;TODAY(),"",SUMIFS(Sales_Tbl[Count - العدد],Sales_Tbl[Status - الحالة],"Accepted - تم التنفيذ",Sales_Tbl[Date - التاريخ],$A168))</f>
        <v/>
      </c>
      <c r="I168">
        <f>IF($A168&gt;TODAY(),"",SUMIFS(Customer_Care_Tbl[Active - نشط],Customer_Care_Tbl[Date - التاريخ],$A168))</f>
        <v/>
      </c>
      <c r="J168">
        <f>IF($A168&gt;TODAY(),"",SUMIFS(Customer_Care_Tbl[Close - مغلق],Customer_Care_Tbl[Date - التاريخ],$A168))</f>
        <v/>
      </c>
    </row>
    <row r="169">
      <c r="A169">
        <f>A168+1</f>
        <v/>
      </c>
      <c r="B169">
        <f>IF($A169&gt;TODAY(),"",IFERROR(INDEX(Credit_KPIs_Tbl[Total Financing Amount],MATCH($A169,Credit_KPIs_Tbl[Date - التاريخ],0)),""))</f>
        <v/>
      </c>
      <c r="C169">
        <f>IF($A169&gt;TODAY(),"",IFERROR(INDEX(Credit_KPIs_Tbl[Today Financing Amount],MATCH($A169,Credit_KPIs_Tbl[Date - التاريخ],0)),""))</f>
        <v/>
      </c>
      <c r="D169">
        <f>IF($A169&gt;TODAY(),"",IFERROR(INDEX(Credit_KPIs_Tbl[Total Number Contracts],MATCH($A169,Credit_KPIs_Tbl[Date - التاريخ],0)),""))</f>
        <v/>
      </c>
      <c r="E169">
        <f>IF($A169&gt;TODAY(),"",IFERROR(INDEX(Credit_KPIs_Tbl[Cancelled],MATCH($A169,Credit_KPIs_Tbl[Date - التاريخ],0)),""))</f>
        <v/>
      </c>
      <c r="F169">
        <f>IF($A169&gt;TODAY(),"",SUMIFS(Collection_Summary_Tbl[Amount - المبلغ],Collection_Summary_Tbl[Item - البند],"الاجمالي",Collection_Summary_Tbl[Date To - الى],$A169))</f>
        <v/>
      </c>
      <c r="G169">
        <f>IF($A169&gt;TODAY(),"",SUMIFS(Sales_Tbl[Count - العدد],Sales_Tbl[Date - التاريخ],$A169))</f>
        <v/>
      </c>
      <c r="H169">
        <f>IF($A169&gt;TODAY(),"",SUMIFS(Sales_Tbl[Count - العدد],Sales_Tbl[Status - الحالة],"Accepted - تم التنفيذ",Sales_Tbl[Date - التاريخ],$A169))</f>
        <v/>
      </c>
      <c r="I169">
        <f>IF($A169&gt;TODAY(),"",SUMIFS(Customer_Care_Tbl[Active - نشط],Customer_Care_Tbl[Date - التاريخ],$A169))</f>
        <v/>
      </c>
      <c r="J169">
        <f>IF($A169&gt;TODAY(),"",SUMIFS(Customer_Care_Tbl[Close - مغلق],Customer_Care_Tbl[Date - التاريخ],$A169))</f>
        <v/>
      </c>
    </row>
    <row r="170">
      <c r="A170">
        <f>A169+1</f>
        <v/>
      </c>
      <c r="B170">
        <f>IF($A170&gt;TODAY(),"",IFERROR(INDEX(Credit_KPIs_Tbl[Total Financing Amount],MATCH($A170,Credit_KPIs_Tbl[Date - التاريخ],0)),""))</f>
        <v/>
      </c>
      <c r="C170">
        <f>IF($A170&gt;TODAY(),"",IFERROR(INDEX(Credit_KPIs_Tbl[Today Financing Amount],MATCH($A170,Credit_KPIs_Tbl[Date - التاريخ],0)),""))</f>
        <v/>
      </c>
      <c r="D170">
        <f>IF($A170&gt;TODAY(),"",IFERROR(INDEX(Credit_KPIs_Tbl[Total Number Contracts],MATCH($A170,Credit_KPIs_Tbl[Date - التاريخ],0)),""))</f>
        <v/>
      </c>
      <c r="E170">
        <f>IF($A170&gt;TODAY(),"",IFERROR(INDEX(Credit_KPIs_Tbl[Cancelled],MATCH($A170,Credit_KPIs_Tbl[Date - التاريخ],0)),""))</f>
        <v/>
      </c>
      <c r="F170">
        <f>IF($A170&gt;TODAY(),"",SUMIFS(Collection_Summary_Tbl[Amount - المبلغ],Collection_Summary_Tbl[Item - البند],"الاجمالي",Collection_Summary_Tbl[Date To - الى],$A170))</f>
        <v/>
      </c>
      <c r="G170">
        <f>IF($A170&gt;TODAY(),"",SUMIFS(Sales_Tbl[Count - العدد],Sales_Tbl[Date - التاريخ],$A170))</f>
        <v/>
      </c>
      <c r="H170">
        <f>IF($A170&gt;TODAY(),"",SUMIFS(Sales_Tbl[Count - العدد],Sales_Tbl[Status - الحالة],"Accepted - تم التنفيذ",Sales_Tbl[Date - التاريخ],$A170))</f>
        <v/>
      </c>
      <c r="I170">
        <f>IF($A170&gt;TODAY(),"",SUMIFS(Customer_Care_Tbl[Active - نشط],Customer_Care_Tbl[Date - التاريخ],$A170))</f>
        <v/>
      </c>
      <c r="J170">
        <f>IF($A170&gt;TODAY(),"",SUMIFS(Customer_Care_Tbl[Close - مغلق],Customer_Care_Tbl[Date - التاريخ],$A170))</f>
        <v/>
      </c>
    </row>
    <row r="171">
      <c r="A171">
        <f>A170+1</f>
        <v/>
      </c>
      <c r="B171">
        <f>IF($A171&gt;TODAY(),"",IFERROR(INDEX(Credit_KPIs_Tbl[Total Financing Amount],MATCH($A171,Credit_KPIs_Tbl[Date - التاريخ],0)),""))</f>
        <v/>
      </c>
      <c r="C171">
        <f>IF($A171&gt;TODAY(),"",IFERROR(INDEX(Credit_KPIs_Tbl[Today Financing Amount],MATCH($A171,Credit_KPIs_Tbl[Date - التاريخ],0)),""))</f>
        <v/>
      </c>
      <c r="D171">
        <f>IF($A171&gt;TODAY(),"",IFERROR(INDEX(Credit_KPIs_Tbl[Total Number Contracts],MATCH($A171,Credit_KPIs_Tbl[Date - التاريخ],0)),""))</f>
        <v/>
      </c>
      <c r="E171">
        <f>IF($A171&gt;TODAY(),"",IFERROR(INDEX(Credit_KPIs_Tbl[Cancelled],MATCH($A171,Credit_KPIs_Tbl[Date - التاريخ],0)),""))</f>
        <v/>
      </c>
      <c r="F171">
        <f>IF($A171&gt;TODAY(),"",SUMIFS(Collection_Summary_Tbl[Amount - المبلغ],Collection_Summary_Tbl[Item - البند],"الاجمالي",Collection_Summary_Tbl[Date To - الى],$A171))</f>
        <v/>
      </c>
      <c r="G171">
        <f>IF($A171&gt;TODAY(),"",SUMIFS(Sales_Tbl[Count - العدد],Sales_Tbl[Date - التاريخ],$A171))</f>
        <v/>
      </c>
      <c r="H171">
        <f>IF($A171&gt;TODAY(),"",SUMIFS(Sales_Tbl[Count - العدد],Sales_Tbl[Status - الحالة],"Accepted - تم التنفيذ",Sales_Tbl[Date - التاريخ],$A171))</f>
        <v/>
      </c>
      <c r="I171">
        <f>IF($A171&gt;TODAY(),"",SUMIFS(Customer_Care_Tbl[Active - نشط],Customer_Care_Tbl[Date - التاريخ],$A171))</f>
        <v/>
      </c>
      <c r="J171">
        <f>IF($A171&gt;TODAY(),"",SUMIFS(Customer_Care_Tbl[Close - مغلق],Customer_Care_Tbl[Date - التاريخ],$A171))</f>
        <v/>
      </c>
    </row>
    <row r="172">
      <c r="A172">
        <f>A171+1</f>
        <v/>
      </c>
      <c r="B172">
        <f>IF($A172&gt;TODAY(),"",IFERROR(INDEX(Credit_KPIs_Tbl[Total Financing Amount],MATCH($A172,Credit_KPIs_Tbl[Date - التاريخ],0)),""))</f>
        <v/>
      </c>
      <c r="C172">
        <f>IF($A172&gt;TODAY(),"",IFERROR(INDEX(Credit_KPIs_Tbl[Today Financing Amount],MATCH($A172,Credit_KPIs_Tbl[Date - التاريخ],0)),""))</f>
        <v/>
      </c>
      <c r="D172">
        <f>IF($A172&gt;TODAY(),"",IFERROR(INDEX(Credit_KPIs_Tbl[Total Number Contracts],MATCH($A172,Credit_KPIs_Tbl[Date - التاريخ],0)),""))</f>
        <v/>
      </c>
      <c r="E172">
        <f>IF($A172&gt;TODAY(),"",IFERROR(INDEX(Credit_KPIs_Tbl[Cancelled],MATCH($A172,Credit_KPIs_Tbl[Date - التاريخ],0)),""))</f>
        <v/>
      </c>
      <c r="F172">
        <f>IF($A172&gt;TODAY(),"",SUMIFS(Collection_Summary_Tbl[Amount - المبلغ],Collection_Summary_Tbl[Item - البند],"الاجمالي",Collection_Summary_Tbl[Date To - الى],$A172))</f>
        <v/>
      </c>
      <c r="G172">
        <f>IF($A172&gt;TODAY(),"",SUMIFS(Sales_Tbl[Count - العدد],Sales_Tbl[Date - التاريخ],$A172))</f>
        <v/>
      </c>
      <c r="H172">
        <f>IF($A172&gt;TODAY(),"",SUMIFS(Sales_Tbl[Count - العدد],Sales_Tbl[Status - الحالة],"Accepted - تم التنفيذ",Sales_Tbl[Date - التاريخ],$A172))</f>
        <v/>
      </c>
      <c r="I172">
        <f>IF($A172&gt;TODAY(),"",SUMIFS(Customer_Care_Tbl[Active - نشط],Customer_Care_Tbl[Date - التاريخ],$A172))</f>
        <v/>
      </c>
      <c r="J172">
        <f>IF($A172&gt;TODAY(),"",SUMIFS(Customer_Care_Tbl[Close - مغلق],Customer_Care_Tbl[Date - التاريخ],$A172))</f>
        <v/>
      </c>
    </row>
    <row r="173">
      <c r="A173">
        <f>A172+1</f>
        <v/>
      </c>
      <c r="B173">
        <f>IF($A173&gt;TODAY(),"",IFERROR(INDEX(Credit_KPIs_Tbl[Total Financing Amount],MATCH($A173,Credit_KPIs_Tbl[Date - التاريخ],0)),""))</f>
        <v/>
      </c>
      <c r="C173">
        <f>IF($A173&gt;TODAY(),"",IFERROR(INDEX(Credit_KPIs_Tbl[Today Financing Amount],MATCH($A173,Credit_KPIs_Tbl[Date - التاريخ],0)),""))</f>
        <v/>
      </c>
      <c r="D173">
        <f>IF($A173&gt;TODAY(),"",IFERROR(INDEX(Credit_KPIs_Tbl[Total Number Contracts],MATCH($A173,Credit_KPIs_Tbl[Date - التاريخ],0)),""))</f>
        <v/>
      </c>
      <c r="E173">
        <f>IF($A173&gt;TODAY(),"",IFERROR(INDEX(Credit_KPIs_Tbl[Cancelled],MATCH($A173,Credit_KPIs_Tbl[Date - التاريخ],0)),""))</f>
        <v/>
      </c>
      <c r="F173">
        <f>IF($A173&gt;TODAY(),"",SUMIFS(Collection_Summary_Tbl[Amount - المبلغ],Collection_Summary_Tbl[Item - البند],"الاجمالي",Collection_Summary_Tbl[Date To - الى],$A173))</f>
        <v/>
      </c>
      <c r="G173">
        <f>IF($A173&gt;TODAY(),"",SUMIFS(Sales_Tbl[Count - العدد],Sales_Tbl[Date - التاريخ],$A173))</f>
        <v/>
      </c>
      <c r="H173">
        <f>IF($A173&gt;TODAY(),"",SUMIFS(Sales_Tbl[Count - العدد],Sales_Tbl[Status - الحالة],"Accepted - تم التنفيذ",Sales_Tbl[Date - التاريخ],$A173))</f>
        <v/>
      </c>
      <c r="I173">
        <f>IF($A173&gt;TODAY(),"",SUMIFS(Customer_Care_Tbl[Active - نشط],Customer_Care_Tbl[Date - التاريخ],$A173))</f>
        <v/>
      </c>
      <c r="J173">
        <f>IF($A173&gt;TODAY(),"",SUMIFS(Customer_Care_Tbl[Close - مغلق],Customer_Care_Tbl[Date - التاريخ],$A173))</f>
        <v/>
      </c>
    </row>
    <row r="174">
      <c r="A174">
        <f>A173+1</f>
        <v/>
      </c>
      <c r="B174">
        <f>IF($A174&gt;TODAY(),"",IFERROR(INDEX(Credit_KPIs_Tbl[Total Financing Amount],MATCH($A174,Credit_KPIs_Tbl[Date - التاريخ],0)),""))</f>
        <v/>
      </c>
      <c r="C174">
        <f>IF($A174&gt;TODAY(),"",IFERROR(INDEX(Credit_KPIs_Tbl[Today Financing Amount],MATCH($A174,Credit_KPIs_Tbl[Date - التاريخ],0)),""))</f>
        <v/>
      </c>
      <c r="D174">
        <f>IF($A174&gt;TODAY(),"",IFERROR(INDEX(Credit_KPIs_Tbl[Total Number Contracts],MATCH($A174,Credit_KPIs_Tbl[Date - التاريخ],0)),""))</f>
        <v/>
      </c>
      <c r="E174">
        <f>IF($A174&gt;TODAY(),"",IFERROR(INDEX(Credit_KPIs_Tbl[Cancelled],MATCH($A174,Credit_KPIs_Tbl[Date - التاريخ],0)),""))</f>
        <v/>
      </c>
      <c r="F174">
        <f>IF($A174&gt;TODAY(),"",SUMIFS(Collection_Summary_Tbl[Amount - المبلغ],Collection_Summary_Tbl[Item - البند],"الاجمالي",Collection_Summary_Tbl[Date To - الى],$A174))</f>
        <v/>
      </c>
      <c r="G174">
        <f>IF($A174&gt;TODAY(),"",SUMIFS(Sales_Tbl[Count - العدد],Sales_Tbl[Date - التاريخ],$A174))</f>
        <v/>
      </c>
      <c r="H174">
        <f>IF($A174&gt;TODAY(),"",SUMIFS(Sales_Tbl[Count - العدد],Sales_Tbl[Status - الحالة],"Accepted - تم التنفيذ",Sales_Tbl[Date - التاريخ],$A174))</f>
        <v/>
      </c>
      <c r="I174">
        <f>IF($A174&gt;TODAY(),"",SUMIFS(Customer_Care_Tbl[Active - نشط],Customer_Care_Tbl[Date - التاريخ],$A174))</f>
        <v/>
      </c>
      <c r="J174">
        <f>IF($A174&gt;TODAY(),"",SUMIFS(Customer_Care_Tbl[Close - مغلق],Customer_Care_Tbl[Date - التاريخ],$A174))</f>
        <v/>
      </c>
    </row>
    <row r="175">
      <c r="A175">
        <f>A174+1</f>
        <v/>
      </c>
      <c r="B175">
        <f>IF($A175&gt;TODAY(),"",IFERROR(INDEX(Credit_KPIs_Tbl[Total Financing Amount],MATCH($A175,Credit_KPIs_Tbl[Date - التاريخ],0)),""))</f>
        <v/>
      </c>
      <c r="C175">
        <f>IF($A175&gt;TODAY(),"",IFERROR(INDEX(Credit_KPIs_Tbl[Today Financing Amount],MATCH($A175,Credit_KPIs_Tbl[Date - التاريخ],0)),""))</f>
        <v/>
      </c>
      <c r="D175">
        <f>IF($A175&gt;TODAY(),"",IFERROR(INDEX(Credit_KPIs_Tbl[Total Number Contracts],MATCH($A175,Credit_KPIs_Tbl[Date - التاريخ],0)),""))</f>
        <v/>
      </c>
      <c r="E175">
        <f>IF($A175&gt;TODAY(),"",IFERROR(INDEX(Credit_KPIs_Tbl[Cancelled],MATCH($A175,Credit_KPIs_Tbl[Date - التاريخ],0)),""))</f>
        <v/>
      </c>
      <c r="F175">
        <f>IF($A175&gt;TODAY(),"",SUMIFS(Collection_Summary_Tbl[Amount - المبلغ],Collection_Summary_Tbl[Item - البند],"الاجمالي",Collection_Summary_Tbl[Date To - الى],$A175))</f>
        <v/>
      </c>
      <c r="G175">
        <f>IF($A175&gt;TODAY(),"",SUMIFS(Sales_Tbl[Count - العدد],Sales_Tbl[Date - التاريخ],$A175))</f>
        <v/>
      </c>
      <c r="H175">
        <f>IF($A175&gt;TODAY(),"",SUMIFS(Sales_Tbl[Count - العدد],Sales_Tbl[Status - الحالة],"Accepted - تم التنفيذ",Sales_Tbl[Date - التاريخ],$A175))</f>
        <v/>
      </c>
      <c r="I175">
        <f>IF($A175&gt;TODAY(),"",SUMIFS(Customer_Care_Tbl[Active - نشط],Customer_Care_Tbl[Date - التاريخ],$A175))</f>
        <v/>
      </c>
      <c r="J175">
        <f>IF($A175&gt;TODAY(),"",SUMIFS(Customer_Care_Tbl[Close - مغلق],Customer_Care_Tbl[Date - التاريخ],$A175))</f>
        <v/>
      </c>
    </row>
    <row r="176">
      <c r="A176">
        <f>A175+1</f>
        <v/>
      </c>
      <c r="B176">
        <f>IF($A176&gt;TODAY(),"",IFERROR(INDEX(Credit_KPIs_Tbl[Total Financing Amount],MATCH($A176,Credit_KPIs_Tbl[Date - التاريخ],0)),""))</f>
        <v/>
      </c>
      <c r="C176">
        <f>IF($A176&gt;TODAY(),"",IFERROR(INDEX(Credit_KPIs_Tbl[Today Financing Amount],MATCH($A176,Credit_KPIs_Tbl[Date - التاريخ],0)),""))</f>
        <v/>
      </c>
      <c r="D176">
        <f>IF($A176&gt;TODAY(),"",IFERROR(INDEX(Credit_KPIs_Tbl[Total Number Contracts],MATCH($A176,Credit_KPIs_Tbl[Date - التاريخ],0)),""))</f>
        <v/>
      </c>
      <c r="E176">
        <f>IF($A176&gt;TODAY(),"",IFERROR(INDEX(Credit_KPIs_Tbl[Cancelled],MATCH($A176,Credit_KPIs_Tbl[Date - التاريخ],0)),""))</f>
        <v/>
      </c>
      <c r="F176">
        <f>IF($A176&gt;TODAY(),"",SUMIFS(Collection_Summary_Tbl[Amount - المبلغ],Collection_Summary_Tbl[Item - البند],"الاجمالي",Collection_Summary_Tbl[Date To - الى],$A176))</f>
        <v/>
      </c>
      <c r="G176">
        <f>IF($A176&gt;TODAY(),"",SUMIFS(Sales_Tbl[Count - العدد],Sales_Tbl[Date - التاريخ],$A176))</f>
        <v/>
      </c>
      <c r="H176">
        <f>IF($A176&gt;TODAY(),"",SUMIFS(Sales_Tbl[Count - العدد],Sales_Tbl[Status - الحالة],"Accepted - تم التنفيذ",Sales_Tbl[Date - التاريخ],$A176))</f>
        <v/>
      </c>
      <c r="I176">
        <f>IF($A176&gt;TODAY(),"",SUMIFS(Customer_Care_Tbl[Active - نشط],Customer_Care_Tbl[Date - التاريخ],$A176))</f>
        <v/>
      </c>
      <c r="J176">
        <f>IF($A176&gt;TODAY(),"",SUMIFS(Customer_Care_Tbl[Close - مغلق],Customer_Care_Tbl[Date - التاريخ],$A176))</f>
        <v/>
      </c>
    </row>
    <row r="177">
      <c r="A177">
        <f>A176+1</f>
        <v/>
      </c>
      <c r="B177">
        <f>IF($A177&gt;TODAY(),"",IFERROR(INDEX(Credit_KPIs_Tbl[Total Financing Amount],MATCH($A177,Credit_KPIs_Tbl[Date - التاريخ],0)),""))</f>
        <v/>
      </c>
      <c r="C177">
        <f>IF($A177&gt;TODAY(),"",IFERROR(INDEX(Credit_KPIs_Tbl[Today Financing Amount],MATCH($A177,Credit_KPIs_Tbl[Date - التاريخ],0)),""))</f>
        <v/>
      </c>
      <c r="D177">
        <f>IF($A177&gt;TODAY(),"",IFERROR(INDEX(Credit_KPIs_Tbl[Total Number Contracts],MATCH($A177,Credit_KPIs_Tbl[Date - التاريخ],0)),""))</f>
        <v/>
      </c>
      <c r="E177">
        <f>IF($A177&gt;TODAY(),"",IFERROR(INDEX(Credit_KPIs_Tbl[Cancelled],MATCH($A177,Credit_KPIs_Tbl[Date - التاريخ],0)),""))</f>
        <v/>
      </c>
      <c r="F177">
        <f>IF($A177&gt;TODAY(),"",SUMIFS(Collection_Summary_Tbl[Amount - المبلغ],Collection_Summary_Tbl[Item - البند],"الاجمالي",Collection_Summary_Tbl[Date To - الى],$A177))</f>
        <v/>
      </c>
      <c r="G177">
        <f>IF($A177&gt;TODAY(),"",SUMIFS(Sales_Tbl[Count - العدد],Sales_Tbl[Date - التاريخ],$A177))</f>
        <v/>
      </c>
      <c r="H177">
        <f>IF($A177&gt;TODAY(),"",SUMIFS(Sales_Tbl[Count - العدد],Sales_Tbl[Status - الحالة],"Accepted - تم التنفيذ",Sales_Tbl[Date - التاريخ],$A177))</f>
        <v/>
      </c>
      <c r="I177">
        <f>IF($A177&gt;TODAY(),"",SUMIFS(Customer_Care_Tbl[Active - نشط],Customer_Care_Tbl[Date - التاريخ],$A177))</f>
        <v/>
      </c>
      <c r="J177">
        <f>IF($A177&gt;TODAY(),"",SUMIFS(Customer_Care_Tbl[Close - مغلق],Customer_Care_Tbl[Date - التاريخ],$A177))</f>
        <v/>
      </c>
    </row>
    <row r="178">
      <c r="A178">
        <f>A177+1</f>
        <v/>
      </c>
      <c r="B178">
        <f>IF($A178&gt;TODAY(),"",IFERROR(INDEX(Credit_KPIs_Tbl[Total Financing Amount],MATCH($A178,Credit_KPIs_Tbl[Date - التاريخ],0)),""))</f>
        <v/>
      </c>
      <c r="C178">
        <f>IF($A178&gt;TODAY(),"",IFERROR(INDEX(Credit_KPIs_Tbl[Today Financing Amount],MATCH($A178,Credit_KPIs_Tbl[Date - التاريخ],0)),""))</f>
        <v/>
      </c>
      <c r="D178">
        <f>IF($A178&gt;TODAY(),"",IFERROR(INDEX(Credit_KPIs_Tbl[Total Number Contracts],MATCH($A178,Credit_KPIs_Tbl[Date - التاريخ],0)),""))</f>
        <v/>
      </c>
      <c r="E178">
        <f>IF($A178&gt;TODAY(),"",IFERROR(INDEX(Credit_KPIs_Tbl[Cancelled],MATCH($A178,Credit_KPIs_Tbl[Date - التاريخ],0)),""))</f>
        <v/>
      </c>
      <c r="F178">
        <f>IF($A178&gt;TODAY(),"",SUMIFS(Collection_Summary_Tbl[Amount - المبلغ],Collection_Summary_Tbl[Item - البند],"الاجمالي",Collection_Summary_Tbl[Date To - الى],$A178))</f>
        <v/>
      </c>
      <c r="G178">
        <f>IF($A178&gt;TODAY(),"",SUMIFS(Sales_Tbl[Count - العدد],Sales_Tbl[Date - التاريخ],$A178))</f>
        <v/>
      </c>
      <c r="H178">
        <f>IF($A178&gt;TODAY(),"",SUMIFS(Sales_Tbl[Count - العدد],Sales_Tbl[Status - الحالة],"Accepted - تم التنفيذ",Sales_Tbl[Date - التاريخ],$A178))</f>
        <v/>
      </c>
      <c r="I178">
        <f>IF($A178&gt;TODAY(),"",SUMIFS(Customer_Care_Tbl[Active - نشط],Customer_Care_Tbl[Date - التاريخ],$A178))</f>
        <v/>
      </c>
      <c r="J178">
        <f>IF($A178&gt;TODAY(),"",SUMIFS(Customer_Care_Tbl[Close - مغلق],Customer_Care_Tbl[Date - التاريخ],$A178))</f>
        <v/>
      </c>
    </row>
    <row r="179">
      <c r="A179">
        <f>A178+1</f>
        <v/>
      </c>
      <c r="B179">
        <f>IF($A179&gt;TODAY(),"",IFERROR(INDEX(Credit_KPIs_Tbl[Total Financing Amount],MATCH($A179,Credit_KPIs_Tbl[Date - التاريخ],0)),""))</f>
        <v/>
      </c>
      <c r="C179">
        <f>IF($A179&gt;TODAY(),"",IFERROR(INDEX(Credit_KPIs_Tbl[Today Financing Amount],MATCH($A179,Credit_KPIs_Tbl[Date - التاريخ],0)),""))</f>
        <v/>
      </c>
      <c r="D179">
        <f>IF($A179&gt;TODAY(),"",IFERROR(INDEX(Credit_KPIs_Tbl[Total Number Contracts],MATCH($A179,Credit_KPIs_Tbl[Date - التاريخ],0)),""))</f>
        <v/>
      </c>
      <c r="E179">
        <f>IF($A179&gt;TODAY(),"",IFERROR(INDEX(Credit_KPIs_Tbl[Cancelled],MATCH($A179,Credit_KPIs_Tbl[Date - التاريخ],0)),""))</f>
        <v/>
      </c>
      <c r="F179">
        <f>IF($A179&gt;TODAY(),"",SUMIFS(Collection_Summary_Tbl[Amount - المبلغ],Collection_Summary_Tbl[Item - البند],"الاجمالي",Collection_Summary_Tbl[Date To - الى],$A179))</f>
        <v/>
      </c>
      <c r="G179">
        <f>IF($A179&gt;TODAY(),"",SUMIFS(Sales_Tbl[Count - العدد],Sales_Tbl[Date - التاريخ],$A179))</f>
        <v/>
      </c>
      <c r="H179">
        <f>IF($A179&gt;TODAY(),"",SUMIFS(Sales_Tbl[Count - العدد],Sales_Tbl[Status - الحالة],"Accepted - تم التنفيذ",Sales_Tbl[Date - التاريخ],$A179))</f>
        <v/>
      </c>
      <c r="I179">
        <f>IF($A179&gt;TODAY(),"",SUMIFS(Customer_Care_Tbl[Active - نشط],Customer_Care_Tbl[Date - التاريخ],$A179))</f>
        <v/>
      </c>
      <c r="J179">
        <f>IF($A179&gt;TODAY(),"",SUMIFS(Customer_Care_Tbl[Close - مغلق],Customer_Care_Tbl[Date - التاريخ],$A179))</f>
        <v/>
      </c>
    </row>
    <row r="180">
      <c r="A180">
        <f>A179+1</f>
        <v/>
      </c>
      <c r="B180">
        <f>IF($A180&gt;TODAY(),"",IFERROR(INDEX(Credit_KPIs_Tbl[Total Financing Amount],MATCH($A180,Credit_KPIs_Tbl[Date - التاريخ],0)),""))</f>
        <v/>
      </c>
      <c r="C180">
        <f>IF($A180&gt;TODAY(),"",IFERROR(INDEX(Credit_KPIs_Tbl[Today Financing Amount],MATCH($A180,Credit_KPIs_Tbl[Date - التاريخ],0)),""))</f>
        <v/>
      </c>
      <c r="D180">
        <f>IF($A180&gt;TODAY(),"",IFERROR(INDEX(Credit_KPIs_Tbl[Total Number Contracts],MATCH($A180,Credit_KPIs_Tbl[Date - التاريخ],0)),""))</f>
        <v/>
      </c>
      <c r="E180">
        <f>IF($A180&gt;TODAY(),"",IFERROR(INDEX(Credit_KPIs_Tbl[Cancelled],MATCH($A180,Credit_KPIs_Tbl[Date - التاريخ],0)),""))</f>
        <v/>
      </c>
      <c r="F180">
        <f>IF($A180&gt;TODAY(),"",SUMIFS(Collection_Summary_Tbl[Amount - المبلغ],Collection_Summary_Tbl[Item - البند],"الاجمالي",Collection_Summary_Tbl[Date To - الى],$A180))</f>
        <v/>
      </c>
      <c r="G180">
        <f>IF($A180&gt;TODAY(),"",SUMIFS(Sales_Tbl[Count - العدد],Sales_Tbl[Date - التاريخ],$A180))</f>
        <v/>
      </c>
      <c r="H180">
        <f>IF($A180&gt;TODAY(),"",SUMIFS(Sales_Tbl[Count - العدد],Sales_Tbl[Status - الحالة],"Accepted - تم التنفيذ",Sales_Tbl[Date - التاريخ],$A180))</f>
        <v/>
      </c>
      <c r="I180">
        <f>IF($A180&gt;TODAY(),"",SUMIFS(Customer_Care_Tbl[Active - نشط],Customer_Care_Tbl[Date - التاريخ],$A180))</f>
        <v/>
      </c>
      <c r="J180">
        <f>IF($A180&gt;TODAY(),"",SUMIFS(Customer_Care_Tbl[Close - مغلق],Customer_Care_Tbl[Date - التاريخ],$A180))</f>
        <v/>
      </c>
    </row>
    <row r="181">
      <c r="A181">
        <f>A180+1</f>
        <v/>
      </c>
      <c r="B181">
        <f>IF($A181&gt;TODAY(),"",IFERROR(INDEX(Credit_KPIs_Tbl[Total Financing Amount],MATCH($A181,Credit_KPIs_Tbl[Date - التاريخ],0)),""))</f>
        <v/>
      </c>
      <c r="C181">
        <f>IF($A181&gt;TODAY(),"",IFERROR(INDEX(Credit_KPIs_Tbl[Today Financing Amount],MATCH($A181,Credit_KPIs_Tbl[Date - التاريخ],0)),""))</f>
        <v/>
      </c>
      <c r="D181">
        <f>IF($A181&gt;TODAY(),"",IFERROR(INDEX(Credit_KPIs_Tbl[Total Number Contracts],MATCH($A181,Credit_KPIs_Tbl[Date - التاريخ],0)),""))</f>
        <v/>
      </c>
      <c r="E181">
        <f>IF($A181&gt;TODAY(),"",IFERROR(INDEX(Credit_KPIs_Tbl[Cancelled],MATCH($A181,Credit_KPIs_Tbl[Date - التاريخ],0)),""))</f>
        <v/>
      </c>
      <c r="F181">
        <f>IF($A181&gt;TODAY(),"",SUMIFS(Collection_Summary_Tbl[Amount - المبلغ],Collection_Summary_Tbl[Item - البند],"الاجمالي",Collection_Summary_Tbl[Date To - الى],$A181))</f>
        <v/>
      </c>
      <c r="G181">
        <f>IF($A181&gt;TODAY(),"",SUMIFS(Sales_Tbl[Count - العدد],Sales_Tbl[Date - التاريخ],$A181))</f>
        <v/>
      </c>
      <c r="H181">
        <f>IF($A181&gt;TODAY(),"",SUMIFS(Sales_Tbl[Count - العدد],Sales_Tbl[Status - الحالة],"Accepted - تم التنفيذ",Sales_Tbl[Date - التاريخ],$A181))</f>
        <v/>
      </c>
      <c r="I181">
        <f>IF($A181&gt;TODAY(),"",SUMIFS(Customer_Care_Tbl[Active - نشط],Customer_Care_Tbl[Date - التاريخ],$A181))</f>
        <v/>
      </c>
      <c r="J181">
        <f>IF($A181&gt;TODAY(),"",SUMIFS(Customer_Care_Tbl[Close - مغلق],Customer_Care_Tbl[Date - التاريخ],$A181))</f>
        <v/>
      </c>
    </row>
    <row r="182">
      <c r="A182">
        <f>A181+1</f>
        <v/>
      </c>
      <c r="B182">
        <f>IF($A182&gt;TODAY(),"",IFERROR(INDEX(Credit_KPIs_Tbl[Total Financing Amount],MATCH($A182,Credit_KPIs_Tbl[Date - التاريخ],0)),""))</f>
        <v/>
      </c>
      <c r="C182">
        <f>IF($A182&gt;TODAY(),"",IFERROR(INDEX(Credit_KPIs_Tbl[Today Financing Amount],MATCH($A182,Credit_KPIs_Tbl[Date - التاريخ],0)),""))</f>
        <v/>
      </c>
      <c r="D182">
        <f>IF($A182&gt;TODAY(),"",IFERROR(INDEX(Credit_KPIs_Tbl[Total Number Contracts],MATCH($A182,Credit_KPIs_Tbl[Date - التاريخ],0)),""))</f>
        <v/>
      </c>
      <c r="E182">
        <f>IF($A182&gt;TODAY(),"",IFERROR(INDEX(Credit_KPIs_Tbl[Cancelled],MATCH($A182,Credit_KPIs_Tbl[Date - التاريخ],0)),""))</f>
        <v/>
      </c>
      <c r="F182">
        <f>IF($A182&gt;TODAY(),"",SUMIFS(Collection_Summary_Tbl[Amount - المبلغ],Collection_Summary_Tbl[Item - البند],"الاجمالي",Collection_Summary_Tbl[Date To - الى],$A182))</f>
        <v/>
      </c>
      <c r="G182">
        <f>IF($A182&gt;TODAY(),"",SUMIFS(Sales_Tbl[Count - العدد],Sales_Tbl[Date - التاريخ],$A182))</f>
        <v/>
      </c>
      <c r="H182">
        <f>IF($A182&gt;TODAY(),"",SUMIFS(Sales_Tbl[Count - العدد],Sales_Tbl[Status - الحالة],"Accepted - تم التنفيذ",Sales_Tbl[Date - التاريخ],$A182))</f>
        <v/>
      </c>
      <c r="I182">
        <f>IF($A182&gt;TODAY(),"",SUMIFS(Customer_Care_Tbl[Active - نشط],Customer_Care_Tbl[Date - التاريخ],$A182))</f>
        <v/>
      </c>
      <c r="J182">
        <f>IF($A182&gt;TODAY(),"",SUMIFS(Customer_Care_Tbl[Close - مغلق],Customer_Care_Tbl[Date - التاريخ],$A182))</f>
        <v/>
      </c>
    </row>
    <row r="183">
      <c r="A183">
        <f>A182+1</f>
        <v/>
      </c>
      <c r="B183">
        <f>IF($A183&gt;TODAY(),"",IFERROR(INDEX(Credit_KPIs_Tbl[Total Financing Amount],MATCH($A183,Credit_KPIs_Tbl[Date - التاريخ],0)),""))</f>
        <v/>
      </c>
      <c r="C183">
        <f>IF($A183&gt;TODAY(),"",IFERROR(INDEX(Credit_KPIs_Tbl[Today Financing Amount],MATCH($A183,Credit_KPIs_Tbl[Date - التاريخ],0)),""))</f>
        <v/>
      </c>
      <c r="D183">
        <f>IF($A183&gt;TODAY(),"",IFERROR(INDEX(Credit_KPIs_Tbl[Total Number Contracts],MATCH($A183,Credit_KPIs_Tbl[Date - التاريخ],0)),""))</f>
        <v/>
      </c>
      <c r="E183">
        <f>IF($A183&gt;TODAY(),"",IFERROR(INDEX(Credit_KPIs_Tbl[Cancelled],MATCH($A183,Credit_KPIs_Tbl[Date - التاريخ],0)),""))</f>
        <v/>
      </c>
      <c r="F183">
        <f>IF($A183&gt;TODAY(),"",SUMIFS(Collection_Summary_Tbl[Amount - المبلغ],Collection_Summary_Tbl[Item - البند],"الاجمالي",Collection_Summary_Tbl[Date To - الى],$A183))</f>
        <v/>
      </c>
      <c r="G183">
        <f>IF($A183&gt;TODAY(),"",SUMIFS(Sales_Tbl[Count - العدد],Sales_Tbl[Date - التاريخ],$A183))</f>
        <v/>
      </c>
      <c r="H183">
        <f>IF($A183&gt;TODAY(),"",SUMIFS(Sales_Tbl[Count - العدد],Sales_Tbl[Status - الحالة],"Accepted - تم التنفيذ",Sales_Tbl[Date - التاريخ],$A183))</f>
        <v/>
      </c>
      <c r="I183">
        <f>IF($A183&gt;TODAY(),"",SUMIFS(Customer_Care_Tbl[Active - نشط],Customer_Care_Tbl[Date - التاريخ],$A183))</f>
        <v/>
      </c>
      <c r="J183">
        <f>IF($A183&gt;TODAY(),"",SUMIFS(Customer_Care_Tbl[Close - مغلق],Customer_Care_Tbl[Date - التاريخ],$A183))</f>
        <v/>
      </c>
    </row>
    <row r="184">
      <c r="A184">
        <f>A183+1</f>
        <v/>
      </c>
      <c r="B184">
        <f>IF($A184&gt;TODAY(),"",IFERROR(INDEX(Credit_KPIs_Tbl[Total Financing Amount],MATCH($A184,Credit_KPIs_Tbl[Date - التاريخ],0)),""))</f>
        <v/>
      </c>
      <c r="C184">
        <f>IF($A184&gt;TODAY(),"",IFERROR(INDEX(Credit_KPIs_Tbl[Today Financing Amount],MATCH($A184,Credit_KPIs_Tbl[Date - التاريخ],0)),""))</f>
        <v/>
      </c>
      <c r="D184">
        <f>IF($A184&gt;TODAY(),"",IFERROR(INDEX(Credit_KPIs_Tbl[Total Number Contracts],MATCH($A184,Credit_KPIs_Tbl[Date - التاريخ],0)),""))</f>
        <v/>
      </c>
      <c r="E184">
        <f>IF($A184&gt;TODAY(),"",IFERROR(INDEX(Credit_KPIs_Tbl[Cancelled],MATCH($A184,Credit_KPIs_Tbl[Date - التاريخ],0)),""))</f>
        <v/>
      </c>
      <c r="F184">
        <f>IF($A184&gt;TODAY(),"",SUMIFS(Collection_Summary_Tbl[Amount - المبلغ],Collection_Summary_Tbl[Item - البند],"الاجمالي",Collection_Summary_Tbl[Date To - الى],$A184))</f>
        <v/>
      </c>
      <c r="G184">
        <f>IF($A184&gt;TODAY(),"",SUMIFS(Sales_Tbl[Count - العدد],Sales_Tbl[Date - التاريخ],$A184))</f>
        <v/>
      </c>
      <c r="H184">
        <f>IF($A184&gt;TODAY(),"",SUMIFS(Sales_Tbl[Count - العدد],Sales_Tbl[Status - الحالة],"Accepted - تم التنفيذ",Sales_Tbl[Date - التاريخ],$A184))</f>
        <v/>
      </c>
      <c r="I184">
        <f>IF($A184&gt;TODAY(),"",SUMIFS(Customer_Care_Tbl[Active - نشط],Customer_Care_Tbl[Date - التاريخ],$A184))</f>
        <v/>
      </c>
      <c r="J184">
        <f>IF($A184&gt;TODAY(),"",SUMIFS(Customer_Care_Tbl[Close - مغلق],Customer_Care_Tbl[Date - التاريخ],$A184))</f>
        <v/>
      </c>
    </row>
    <row r="185">
      <c r="A185">
        <f>A184+1</f>
        <v/>
      </c>
      <c r="B185">
        <f>IF($A185&gt;TODAY(),"",IFERROR(INDEX(Credit_KPIs_Tbl[Total Financing Amount],MATCH($A185,Credit_KPIs_Tbl[Date - التاريخ],0)),""))</f>
        <v/>
      </c>
      <c r="C185">
        <f>IF($A185&gt;TODAY(),"",IFERROR(INDEX(Credit_KPIs_Tbl[Today Financing Amount],MATCH($A185,Credit_KPIs_Tbl[Date - التاريخ],0)),""))</f>
        <v/>
      </c>
      <c r="D185">
        <f>IF($A185&gt;TODAY(),"",IFERROR(INDEX(Credit_KPIs_Tbl[Total Number Contracts],MATCH($A185,Credit_KPIs_Tbl[Date - التاريخ],0)),""))</f>
        <v/>
      </c>
      <c r="E185">
        <f>IF($A185&gt;TODAY(),"",IFERROR(INDEX(Credit_KPIs_Tbl[Cancelled],MATCH($A185,Credit_KPIs_Tbl[Date - التاريخ],0)),""))</f>
        <v/>
      </c>
      <c r="F185">
        <f>IF($A185&gt;TODAY(),"",SUMIFS(Collection_Summary_Tbl[Amount - المبلغ],Collection_Summary_Tbl[Item - البند],"الاجمالي",Collection_Summary_Tbl[Date To - الى],$A185))</f>
        <v/>
      </c>
      <c r="G185">
        <f>IF($A185&gt;TODAY(),"",SUMIFS(Sales_Tbl[Count - العدد],Sales_Tbl[Date - التاريخ],$A185))</f>
        <v/>
      </c>
      <c r="H185">
        <f>IF($A185&gt;TODAY(),"",SUMIFS(Sales_Tbl[Count - العدد],Sales_Tbl[Status - الحالة],"Accepted - تم التنفيذ",Sales_Tbl[Date - التاريخ],$A185))</f>
        <v/>
      </c>
      <c r="I185">
        <f>IF($A185&gt;TODAY(),"",SUMIFS(Customer_Care_Tbl[Active - نشط],Customer_Care_Tbl[Date - التاريخ],$A185))</f>
        <v/>
      </c>
      <c r="J185">
        <f>IF($A185&gt;TODAY(),"",SUMIFS(Customer_Care_Tbl[Close - مغلق],Customer_Care_Tbl[Date - التاريخ],$A185))</f>
        <v/>
      </c>
    </row>
    <row r="186">
      <c r="A186">
        <f>A185+1</f>
        <v/>
      </c>
      <c r="B186">
        <f>IF($A186&gt;TODAY(),"",IFERROR(INDEX(Credit_KPIs_Tbl[Total Financing Amount],MATCH($A186,Credit_KPIs_Tbl[Date - التاريخ],0)),""))</f>
        <v/>
      </c>
      <c r="C186">
        <f>IF($A186&gt;TODAY(),"",IFERROR(INDEX(Credit_KPIs_Tbl[Today Financing Amount],MATCH($A186,Credit_KPIs_Tbl[Date - التاريخ],0)),""))</f>
        <v/>
      </c>
      <c r="D186">
        <f>IF($A186&gt;TODAY(),"",IFERROR(INDEX(Credit_KPIs_Tbl[Total Number Contracts],MATCH($A186,Credit_KPIs_Tbl[Date - التاريخ],0)),""))</f>
        <v/>
      </c>
      <c r="E186">
        <f>IF($A186&gt;TODAY(),"",IFERROR(INDEX(Credit_KPIs_Tbl[Cancelled],MATCH($A186,Credit_KPIs_Tbl[Date - التاريخ],0)),""))</f>
        <v/>
      </c>
      <c r="F186">
        <f>IF($A186&gt;TODAY(),"",SUMIFS(Collection_Summary_Tbl[Amount - المبلغ],Collection_Summary_Tbl[Item - البند],"الاجمالي",Collection_Summary_Tbl[Date To - الى],$A186))</f>
        <v/>
      </c>
      <c r="G186">
        <f>IF($A186&gt;TODAY(),"",SUMIFS(Sales_Tbl[Count - العدد],Sales_Tbl[Date - التاريخ],$A186))</f>
        <v/>
      </c>
      <c r="H186">
        <f>IF($A186&gt;TODAY(),"",SUMIFS(Sales_Tbl[Count - العدد],Sales_Tbl[Status - الحالة],"Accepted - تم التنفيذ",Sales_Tbl[Date - التاريخ],$A186))</f>
        <v/>
      </c>
      <c r="I186">
        <f>IF($A186&gt;TODAY(),"",SUMIFS(Customer_Care_Tbl[Active - نشط],Customer_Care_Tbl[Date - التاريخ],$A186))</f>
        <v/>
      </c>
      <c r="J186">
        <f>IF($A186&gt;TODAY(),"",SUMIFS(Customer_Care_Tbl[Close - مغلق],Customer_Care_Tbl[Date - التاريخ],$A186))</f>
        <v/>
      </c>
    </row>
    <row r="187">
      <c r="A187">
        <f>A186+1</f>
        <v/>
      </c>
      <c r="B187">
        <f>IF($A187&gt;TODAY(),"",IFERROR(INDEX(Credit_KPIs_Tbl[Total Financing Amount],MATCH($A187,Credit_KPIs_Tbl[Date - التاريخ],0)),""))</f>
        <v/>
      </c>
      <c r="C187">
        <f>IF($A187&gt;TODAY(),"",IFERROR(INDEX(Credit_KPIs_Tbl[Today Financing Amount],MATCH($A187,Credit_KPIs_Tbl[Date - التاريخ],0)),""))</f>
        <v/>
      </c>
      <c r="D187">
        <f>IF($A187&gt;TODAY(),"",IFERROR(INDEX(Credit_KPIs_Tbl[Total Number Contracts],MATCH($A187,Credit_KPIs_Tbl[Date - التاريخ],0)),""))</f>
        <v/>
      </c>
      <c r="E187">
        <f>IF($A187&gt;TODAY(),"",IFERROR(INDEX(Credit_KPIs_Tbl[Cancelled],MATCH($A187,Credit_KPIs_Tbl[Date - التاريخ],0)),""))</f>
        <v/>
      </c>
      <c r="F187">
        <f>IF($A187&gt;TODAY(),"",SUMIFS(Collection_Summary_Tbl[Amount - المبلغ],Collection_Summary_Tbl[Item - البند],"الاجمالي",Collection_Summary_Tbl[Date To - الى],$A187))</f>
        <v/>
      </c>
      <c r="G187">
        <f>IF($A187&gt;TODAY(),"",SUMIFS(Sales_Tbl[Count - العدد],Sales_Tbl[Date - التاريخ],$A187))</f>
        <v/>
      </c>
      <c r="H187">
        <f>IF($A187&gt;TODAY(),"",SUMIFS(Sales_Tbl[Count - العدد],Sales_Tbl[Status - الحالة],"Accepted - تم التنفيذ",Sales_Tbl[Date - التاريخ],$A187))</f>
        <v/>
      </c>
      <c r="I187">
        <f>IF($A187&gt;TODAY(),"",SUMIFS(Customer_Care_Tbl[Active - نشط],Customer_Care_Tbl[Date - التاريخ],$A187))</f>
        <v/>
      </c>
      <c r="J187">
        <f>IF($A187&gt;TODAY(),"",SUMIFS(Customer_Care_Tbl[Close - مغلق],Customer_Care_Tbl[Date - التاريخ],$A187))</f>
        <v/>
      </c>
    </row>
    <row r="188">
      <c r="A188">
        <f>A187+1</f>
        <v/>
      </c>
      <c r="B188">
        <f>IF($A188&gt;TODAY(),"",IFERROR(INDEX(Credit_KPIs_Tbl[Total Financing Amount],MATCH($A188,Credit_KPIs_Tbl[Date - التاريخ],0)),""))</f>
        <v/>
      </c>
      <c r="C188">
        <f>IF($A188&gt;TODAY(),"",IFERROR(INDEX(Credit_KPIs_Tbl[Today Financing Amount],MATCH($A188,Credit_KPIs_Tbl[Date - التاريخ],0)),""))</f>
        <v/>
      </c>
      <c r="D188">
        <f>IF($A188&gt;TODAY(),"",IFERROR(INDEX(Credit_KPIs_Tbl[Total Number Contracts],MATCH($A188,Credit_KPIs_Tbl[Date - التاريخ],0)),""))</f>
        <v/>
      </c>
      <c r="E188">
        <f>IF($A188&gt;TODAY(),"",IFERROR(INDEX(Credit_KPIs_Tbl[Cancelled],MATCH($A188,Credit_KPIs_Tbl[Date - التاريخ],0)),""))</f>
        <v/>
      </c>
      <c r="F188">
        <f>IF($A188&gt;TODAY(),"",SUMIFS(Collection_Summary_Tbl[Amount - المبلغ],Collection_Summary_Tbl[Item - البند],"الاجمالي",Collection_Summary_Tbl[Date To - الى],$A188))</f>
        <v/>
      </c>
      <c r="G188">
        <f>IF($A188&gt;TODAY(),"",SUMIFS(Sales_Tbl[Count - العدد],Sales_Tbl[Date - التاريخ],$A188))</f>
        <v/>
      </c>
      <c r="H188">
        <f>IF($A188&gt;TODAY(),"",SUMIFS(Sales_Tbl[Count - العدد],Sales_Tbl[Status - الحالة],"Accepted - تم التنفيذ",Sales_Tbl[Date - التاريخ],$A188))</f>
        <v/>
      </c>
      <c r="I188">
        <f>IF($A188&gt;TODAY(),"",SUMIFS(Customer_Care_Tbl[Active - نشط],Customer_Care_Tbl[Date - التاريخ],$A188))</f>
        <v/>
      </c>
      <c r="J188">
        <f>IF($A188&gt;TODAY(),"",SUMIFS(Customer_Care_Tbl[Close - مغلق],Customer_Care_Tbl[Date - التاريخ],$A188))</f>
        <v/>
      </c>
    </row>
    <row r="189">
      <c r="A189">
        <f>A188+1</f>
        <v/>
      </c>
      <c r="B189">
        <f>IF($A189&gt;TODAY(),"",IFERROR(INDEX(Credit_KPIs_Tbl[Total Financing Amount],MATCH($A189,Credit_KPIs_Tbl[Date - التاريخ],0)),""))</f>
        <v/>
      </c>
      <c r="C189">
        <f>IF($A189&gt;TODAY(),"",IFERROR(INDEX(Credit_KPIs_Tbl[Today Financing Amount],MATCH($A189,Credit_KPIs_Tbl[Date - التاريخ],0)),""))</f>
        <v/>
      </c>
      <c r="D189">
        <f>IF($A189&gt;TODAY(),"",IFERROR(INDEX(Credit_KPIs_Tbl[Total Number Contracts],MATCH($A189,Credit_KPIs_Tbl[Date - التاريخ],0)),""))</f>
        <v/>
      </c>
      <c r="E189">
        <f>IF($A189&gt;TODAY(),"",IFERROR(INDEX(Credit_KPIs_Tbl[Cancelled],MATCH($A189,Credit_KPIs_Tbl[Date - التاريخ],0)),""))</f>
        <v/>
      </c>
      <c r="F189">
        <f>IF($A189&gt;TODAY(),"",SUMIFS(Collection_Summary_Tbl[Amount - المبلغ],Collection_Summary_Tbl[Item - البند],"الاجمالي",Collection_Summary_Tbl[Date To - الى],$A189))</f>
        <v/>
      </c>
      <c r="G189">
        <f>IF($A189&gt;TODAY(),"",SUMIFS(Sales_Tbl[Count - العدد],Sales_Tbl[Date - التاريخ],$A189))</f>
        <v/>
      </c>
      <c r="H189">
        <f>IF($A189&gt;TODAY(),"",SUMIFS(Sales_Tbl[Count - العدد],Sales_Tbl[Status - الحالة],"Accepted - تم التنفيذ",Sales_Tbl[Date - التاريخ],$A189))</f>
        <v/>
      </c>
      <c r="I189">
        <f>IF($A189&gt;TODAY(),"",SUMIFS(Customer_Care_Tbl[Active - نشط],Customer_Care_Tbl[Date - التاريخ],$A189))</f>
        <v/>
      </c>
      <c r="J189">
        <f>IF($A189&gt;TODAY(),"",SUMIFS(Customer_Care_Tbl[Close - مغلق],Customer_Care_Tbl[Date - التاريخ],$A189))</f>
        <v/>
      </c>
    </row>
    <row r="190">
      <c r="A190">
        <f>A189+1</f>
        <v/>
      </c>
      <c r="B190">
        <f>IF($A190&gt;TODAY(),"",IFERROR(INDEX(Credit_KPIs_Tbl[Total Financing Amount],MATCH($A190,Credit_KPIs_Tbl[Date - التاريخ],0)),""))</f>
        <v/>
      </c>
      <c r="C190">
        <f>IF($A190&gt;TODAY(),"",IFERROR(INDEX(Credit_KPIs_Tbl[Today Financing Amount],MATCH($A190,Credit_KPIs_Tbl[Date - التاريخ],0)),""))</f>
        <v/>
      </c>
      <c r="D190">
        <f>IF($A190&gt;TODAY(),"",IFERROR(INDEX(Credit_KPIs_Tbl[Total Number Contracts],MATCH($A190,Credit_KPIs_Tbl[Date - التاريخ],0)),""))</f>
        <v/>
      </c>
      <c r="E190">
        <f>IF($A190&gt;TODAY(),"",IFERROR(INDEX(Credit_KPIs_Tbl[Cancelled],MATCH($A190,Credit_KPIs_Tbl[Date - التاريخ],0)),""))</f>
        <v/>
      </c>
      <c r="F190">
        <f>IF($A190&gt;TODAY(),"",SUMIFS(Collection_Summary_Tbl[Amount - المبلغ],Collection_Summary_Tbl[Item - البند],"الاجمالي",Collection_Summary_Tbl[Date To - الى],$A190))</f>
        <v/>
      </c>
      <c r="G190">
        <f>IF($A190&gt;TODAY(),"",SUMIFS(Sales_Tbl[Count - العدد],Sales_Tbl[Date - التاريخ],$A190))</f>
        <v/>
      </c>
      <c r="H190">
        <f>IF($A190&gt;TODAY(),"",SUMIFS(Sales_Tbl[Count - العدد],Sales_Tbl[Status - الحالة],"Accepted - تم التنفيذ",Sales_Tbl[Date - التاريخ],$A190))</f>
        <v/>
      </c>
      <c r="I190">
        <f>IF($A190&gt;TODAY(),"",SUMIFS(Customer_Care_Tbl[Active - نشط],Customer_Care_Tbl[Date - التاريخ],$A190))</f>
        <v/>
      </c>
      <c r="J190">
        <f>IF($A190&gt;TODAY(),"",SUMIFS(Customer_Care_Tbl[Close - مغلق],Customer_Care_Tbl[Date - التاريخ],$A190))</f>
        <v/>
      </c>
    </row>
    <row r="191">
      <c r="A191">
        <f>A190+1</f>
        <v/>
      </c>
      <c r="B191">
        <f>IF($A191&gt;TODAY(),"",IFERROR(INDEX(Credit_KPIs_Tbl[Total Financing Amount],MATCH($A191,Credit_KPIs_Tbl[Date - التاريخ],0)),""))</f>
        <v/>
      </c>
      <c r="C191">
        <f>IF($A191&gt;TODAY(),"",IFERROR(INDEX(Credit_KPIs_Tbl[Today Financing Amount],MATCH($A191,Credit_KPIs_Tbl[Date - التاريخ],0)),""))</f>
        <v/>
      </c>
      <c r="D191">
        <f>IF($A191&gt;TODAY(),"",IFERROR(INDEX(Credit_KPIs_Tbl[Total Number Contracts],MATCH($A191,Credit_KPIs_Tbl[Date - التاريخ],0)),""))</f>
        <v/>
      </c>
      <c r="E191">
        <f>IF($A191&gt;TODAY(),"",IFERROR(INDEX(Credit_KPIs_Tbl[Cancelled],MATCH($A191,Credit_KPIs_Tbl[Date - التاريخ],0)),""))</f>
        <v/>
      </c>
      <c r="F191">
        <f>IF($A191&gt;TODAY(),"",SUMIFS(Collection_Summary_Tbl[Amount - المبلغ],Collection_Summary_Tbl[Item - البند],"الاجمالي",Collection_Summary_Tbl[Date To - الى],$A191))</f>
        <v/>
      </c>
      <c r="G191">
        <f>IF($A191&gt;TODAY(),"",SUMIFS(Sales_Tbl[Count - العدد],Sales_Tbl[Date - التاريخ],$A191))</f>
        <v/>
      </c>
      <c r="H191">
        <f>IF($A191&gt;TODAY(),"",SUMIFS(Sales_Tbl[Count - العدد],Sales_Tbl[Status - الحالة],"Accepted - تم التنفيذ",Sales_Tbl[Date - التاريخ],$A191))</f>
        <v/>
      </c>
      <c r="I191">
        <f>IF($A191&gt;TODAY(),"",SUMIFS(Customer_Care_Tbl[Active - نشط],Customer_Care_Tbl[Date - التاريخ],$A191))</f>
        <v/>
      </c>
      <c r="J191">
        <f>IF($A191&gt;TODAY(),"",SUMIFS(Customer_Care_Tbl[Close - مغلق],Customer_Care_Tbl[Date - التاريخ],$A191))</f>
        <v/>
      </c>
    </row>
    <row r="192">
      <c r="A192">
        <f>A191+1</f>
        <v/>
      </c>
      <c r="B192">
        <f>IF($A192&gt;TODAY(),"",IFERROR(INDEX(Credit_KPIs_Tbl[Total Financing Amount],MATCH($A192,Credit_KPIs_Tbl[Date - التاريخ],0)),""))</f>
        <v/>
      </c>
      <c r="C192">
        <f>IF($A192&gt;TODAY(),"",IFERROR(INDEX(Credit_KPIs_Tbl[Today Financing Amount],MATCH($A192,Credit_KPIs_Tbl[Date - التاريخ],0)),""))</f>
        <v/>
      </c>
      <c r="D192">
        <f>IF($A192&gt;TODAY(),"",IFERROR(INDEX(Credit_KPIs_Tbl[Total Number Contracts],MATCH($A192,Credit_KPIs_Tbl[Date - التاريخ],0)),""))</f>
        <v/>
      </c>
      <c r="E192">
        <f>IF($A192&gt;TODAY(),"",IFERROR(INDEX(Credit_KPIs_Tbl[Cancelled],MATCH($A192,Credit_KPIs_Tbl[Date - التاريخ],0)),""))</f>
        <v/>
      </c>
      <c r="F192">
        <f>IF($A192&gt;TODAY(),"",SUMIFS(Collection_Summary_Tbl[Amount - المبلغ],Collection_Summary_Tbl[Item - البند],"الاجمالي",Collection_Summary_Tbl[Date To - الى],$A192))</f>
        <v/>
      </c>
      <c r="G192">
        <f>IF($A192&gt;TODAY(),"",SUMIFS(Sales_Tbl[Count - العدد],Sales_Tbl[Date - التاريخ],$A192))</f>
        <v/>
      </c>
      <c r="H192">
        <f>IF($A192&gt;TODAY(),"",SUMIFS(Sales_Tbl[Count - العدد],Sales_Tbl[Status - الحالة],"Accepted - تم التنفيذ",Sales_Tbl[Date - التاريخ],$A192))</f>
        <v/>
      </c>
      <c r="I192">
        <f>IF($A192&gt;TODAY(),"",SUMIFS(Customer_Care_Tbl[Active - نشط],Customer_Care_Tbl[Date - التاريخ],$A192))</f>
        <v/>
      </c>
      <c r="J192">
        <f>IF($A192&gt;TODAY(),"",SUMIFS(Customer_Care_Tbl[Close - مغلق],Customer_Care_Tbl[Date - التاريخ],$A192))</f>
        <v/>
      </c>
    </row>
    <row r="193">
      <c r="A193">
        <f>A192+1</f>
        <v/>
      </c>
      <c r="B193">
        <f>IF($A193&gt;TODAY(),"",IFERROR(INDEX(Credit_KPIs_Tbl[Total Financing Amount],MATCH($A193,Credit_KPIs_Tbl[Date - التاريخ],0)),""))</f>
        <v/>
      </c>
      <c r="C193">
        <f>IF($A193&gt;TODAY(),"",IFERROR(INDEX(Credit_KPIs_Tbl[Today Financing Amount],MATCH($A193,Credit_KPIs_Tbl[Date - التاريخ],0)),""))</f>
        <v/>
      </c>
      <c r="D193">
        <f>IF($A193&gt;TODAY(),"",IFERROR(INDEX(Credit_KPIs_Tbl[Total Number Contracts],MATCH($A193,Credit_KPIs_Tbl[Date - التاريخ],0)),""))</f>
        <v/>
      </c>
      <c r="E193">
        <f>IF($A193&gt;TODAY(),"",IFERROR(INDEX(Credit_KPIs_Tbl[Cancelled],MATCH($A193,Credit_KPIs_Tbl[Date - التاريخ],0)),""))</f>
        <v/>
      </c>
      <c r="F193">
        <f>IF($A193&gt;TODAY(),"",SUMIFS(Collection_Summary_Tbl[Amount - المبلغ],Collection_Summary_Tbl[Item - البند],"الاجمالي",Collection_Summary_Tbl[Date To - الى],$A193))</f>
        <v/>
      </c>
      <c r="G193">
        <f>IF($A193&gt;TODAY(),"",SUMIFS(Sales_Tbl[Count - العدد],Sales_Tbl[Date - التاريخ],$A193))</f>
        <v/>
      </c>
      <c r="H193">
        <f>IF($A193&gt;TODAY(),"",SUMIFS(Sales_Tbl[Count - العدد],Sales_Tbl[Status - الحالة],"Accepted - تم التنفيذ",Sales_Tbl[Date - التاريخ],$A193))</f>
        <v/>
      </c>
      <c r="I193">
        <f>IF($A193&gt;TODAY(),"",SUMIFS(Customer_Care_Tbl[Active - نشط],Customer_Care_Tbl[Date - التاريخ],$A193))</f>
        <v/>
      </c>
      <c r="J193">
        <f>IF($A193&gt;TODAY(),"",SUMIFS(Customer_Care_Tbl[Close - مغلق],Customer_Care_Tbl[Date - التاريخ],$A193))</f>
        <v/>
      </c>
    </row>
    <row r="194">
      <c r="A194">
        <f>A193+1</f>
        <v/>
      </c>
      <c r="B194">
        <f>IF($A194&gt;TODAY(),"",IFERROR(INDEX(Credit_KPIs_Tbl[Total Financing Amount],MATCH($A194,Credit_KPIs_Tbl[Date - التاريخ],0)),""))</f>
        <v/>
      </c>
      <c r="C194">
        <f>IF($A194&gt;TODAY(),"",IFERROR(INDEX(Credit_KPIs_Tbl[Today Financing Amount],MATCH($A194,Credit_KPIs_Tbl[Date - التاريخ],0)),""))</f>
        <v/>
      </c>
      <c r="D194">
        <f>IF($A194&gt;TODAY(),"",IFERROR(INDEX(Credit_KPIs_Tbl[Total Number Contracts],MATCH($A194,Credit_KPIs_Tbl[Date - التاريخ],0)),""))</f>
        <v/>
      </c>
      <c r="E194">
        <f>IF($A194&gt;TODAY(),"",IFERROR(INDEX(Credit_KPIs_Tbl[Cancelled],MATCH($A194,Credit_KPIs_Tbl[Date - التاريخ],0)),""))</f>
        <v/>
      </c>
      <c r="F194">
        <f>IF($A194&gt;TODAY(),"",SUMIFS(Collection_Summary_Tbl[Amount - المبلغ],Collection_Summary_Tbl[Item - البند],"الاجمالي",Collection_Summary_Tbl[Date To - الى],$A194))</f>
        <v/>
      </c>
      <c r="G194">
        <f>IF($A194&gt;TODAY(),"",SUMIFS(Sales_Tbl[Count - العدد],Sales_Tbl[Date - التاريخ],$A194))</f>
        <v/>
      </c>
      <c r="H194">
        <f>IF($A194&gt;TODAY(),"",SUMIFS(Sales_Tbl[Count - العدد],Sales_Tbl[Status - الحالة],"Accepted - تم التنفيذ",Sales_Tbl[Date - التاريخ],$A194))</f>
        <v/>
      </c>
      <c r="I194">
        <f>IF($A194&gt;TODAY(),"",SUMIFS(Customer_Care_Tbl[Active - نشط],Customer_Care_Tbl[Date - التاريخ],$A194))</f>
        <v/>
      </c>
      <c r="J194">
        <f>IF($A194&gt;TODAY(),"",SUMIFS(Customer_Care_Tbl[Close - مغلق],Customer_Care_Tbl[Date - التاريخ],$A194))</f>
        <v/>
      </c>
    </row>
    <row r="195">
      <c r="A195">
        <f>A194+1</f>
        <v/>
      </c>
      <c r="B195">
        <f>IF($A195&gt;TODAY(),"",IFERROR(INDEX(Credit_KPIs_Tbl[Total Financing Amount],MATCH($A195,Credit_KPIs_Tbl[Date - التاريخ],0)),""))</f>
        <v/>
      </c>
      <c r="C195">
        <f>IF($A195&gt;TODAY(),"",IFERROR(INDEX(Credit_KPIs_Tbl[Today Financing Amount],MATCH($A195,Credit_KPIs_Tbl[Date - التاريخ],0)),""))</f>
        <v/>
      </c>
      <c r="D195">
        <f>IF($A195&gt;TODAY(),"",IFERROR(INDEX(Credit_KPIs_Tbl[Total Number Contracts],MATCH($A195,Credit_KPIs_Tbl[Date - التاريخ],0)),""))</f>
        <v/>
      </c>
      <c r="E195">
        <f>IF($A195&gt;TODAY(),"",IFERROR(INDEX(Credit_KPIs_Tbl[Cancelled],MATCH($A195,Credit_KPIs_Tbl[Date - التاريخ],0)),""))</f>
        <v/>
      </c>
      <c r="F195">
        <f>IF($A195&gt;TODAY(),"",SUMIFS(Collection_Summary_Tbl[Amount - المبلغ],Collection_Summary_Tbl[Item - البند],"الاجمالي",Collection_Summary_Tbl[Date To - الى],$A195))</f>
        <v/>
      </c>
      <c r="G195">
        <f>IF($A195&gt;TODAY(),"",SUMIFS(Sales_Tbl[Count - العدد],Sales_Tbl[Date - التاريخ],$A195))</f>
        <v/>
      </c>
      <c r="H195">
        <f>IF($A195&gt;TODAY(),"",SUMIFS(Sales_Tbl[Count - العدد],Sales_Tbl[Status - الحالة],"Accepted - تم التنفيذ",Sales_Tbl[Date - التاريخ],$A195))</f>
        <v/>
      </c>
      <c r="I195">
        <f>IF($A195&gt;TODAY(),"",SUMIFS(Customer_Care_Tbl[Active - نشط],Customer_Care_Tbl[Date - التاريخ],$A195))</f>
        <v/>
      </c>
      <c r="J195">
        <f>IF($A195&gt;TODAY(),"",SUMIFS(Customer_Care_Tbl[Close - مغلق],Customer_Care_Tbl[Date - التاريخ],$A195))</f>
        <v/>
      </c>
    </row>
    <row r="196">
      <c r="A196">
        <f>A195+1</f>
        <v/>
      </c>
      <c r="B196">
        <f>IF($A196&gt;TODAY(),"",IFERROR(INDEX(Credit_KPIs_Tbl[Total Financing Amount],MATCH($A196,Credit_KPIs_Tbl[Date - التاريخ],0)),""))</f>
        <v/>
      </c>
      <c r="C196">
        <f>IF($A196&gt;TODAY(),"",IFERROR(INDEX(Credit_KPIs_Tbl[Today Financing Amount],MATCH($A196,Credit_KPIs_Tbl[Date - التاريخ],0)),""))</f>
        <v/>
      </c>
      <c r="D196">
        <f>IF($A196&gt;TODAY(),"",IFERROR(INDEX(Credit_KPIs_Tbl[Total Number Contracts],MATCH($A196,Credit_KPIs_Tbl[Date - التاريخ],0)),""))</f>
        <v/>
      </c>
      <c r="E196">
        <f>IF($A196&gt;TODAY(),"",IFERROR(INDEX(Credit_KPIs_Tbl[Cancelled],MATCH($A196,Credit_KPIs_Tbl[Date - التاريخ],0)),""))</f>
        <v/>
      </c>
      <c r="F196">
        <f>IF($A196&gt;TODAY(),"",SUMIFS(Collection_Summary_Tbl[Amount - المبلغ],Collection_Summary_Tbl[Item - البند],"الاجمالي",Collection_Summary_Tbl[Date To - الى],$A196))</f>
        <v/>
      </c>
      <c r="G196">
        <f>IF($A196&gt;TODAY(),"",SUMIFS(Sales_Tbl[Count - العدد],Sales_Tbl[Date - التاريخ],$A196))</f>
        <v/>
      </c>
      <c r="H196">
        <f>IF($A196&gt;TODAY(),"",SUMIFS(Sales_Tbl[Count - العدد],Sales_Tbl[Status - الحالة],"Accepted - تم التنفيذ",Sales_Tbl[Date - التاريخ],$A196))</f>
        <v/>
      </c>
      <c r="I196">
        <f>IF($A196&gt;TODAY(),"",SUMIFS(Customer_Care_Tbl[Active - نشط],Customer_Care_Tbl[Date - التاريخ],$A196))</f>
        <v/>
      </c>
      <c r="J196">
        <f>IF($A196&gt;TODAY(),"",SUMIFS(Customer_Care_Tbl[Close - مغلق],Customer_Care_Tbl[Date - التاريخ],$A196))</f>
        <v/>
      </c>
    </row>
    <row r="197">
      <c r="A197">
        <f>A196+1</f>
        <v/>
      </c>
      <c r="B197">
        <f>IF($A197&gt;TODAY(),"",IFERROR(INDEX(Credit_KPIs_Tbl[Total Financing Amount],MATCH($A197,Credit_KPIs_Tbl[Date - التاريخ],0)),""))</f>
        <v/>
      </c>
      <c r="C197">
        <f>IF($A197&gt;TODAY(),"",IFERROR(INDEX(Credit_KPIs_Tbl[Today Financing Amount],MATCH($A197,Credit_KPIs_Tbl[Date - التاريخ],0)),""))</f>
        <v/>
      </c>
      <c r="D197">
        <f>IF($A197&gt;TODAY(),"",IFERROR(INDEX(Credit_KPIs_Tbl[Total Number Contracts],MATCH($A197,Credit_KPIs_Tbl[Date - التاريخ],0)),""))</f>
        <v/>
      </c>
      <c r="E197">
        <f>IF($A197&gt;TODAY(),"",IFERROR(INDEX(Credit_KPIs_Tbl[Cancelled],MATCH($A197,Credit_KPIs_Tbl[Date - التاريخ],0)),""))</f>
        <v/>
      </c>
      <c r="F197">
        <f>IF($A197&gt;TODAY(),"",SUMIFS(Collection_Summary_Tbl[Amount - المبلغ],Collection_Summary_Tbl[Item - البند],"الاجمالي",Collection_Summary_Tbl[Date To - الى],$A197))</f>
        <v/>
      </c>
      <c r="G197">
        <f>IF($A197&gt;TODAY(),"",SUMIFS(Sales_Tbl[Count - العدد],Sales_Tbl[Date - التاريخ],$A197))</f>
        <v/>
      </c>
      <c r="H197">
        <f>IF($A197&gt;TODAY(),"",SUMIFS(Sales_Tbl[Count - العدد],Sales_Tbl[Status - الحالة],"Accepted - تم التنفيذ",Sales_Tbl[Date - التاريخ],$A197))</f>
        <v/>
      </c>
      <c r="I197">
        <f>IF($A197&gt;TODAY(),"",SUMIFS(Customer_Care_Tbl[Active - نشط],Customer_Care_Tbl[Date - التاريخ],$A197))</f>
        <v/>
      </c>
      <c r="J197">
        <f>IF($A197&gt;TODAY(),"",SUMIFS(Customer_Care_Tbl[Close - مغلق],Customer_Care_Tbl[Date - التاريخ],$A197))</f>
        <v/>
      </c>
    </row>
    <row r="198">
      <c r="A198">
        <f>A197+1</f>
        <v/>
      </c>
      <c r="B198">
        <f>IF($A198&gt;TODAY(),"",IFERROR(INDEX(Credit_KPIs_Tbl[Total Financing Amount],MATCH($A198,Credit_KPIs_Tbl[Date - التاريخ],0)),""))</f>
        <v/>
      </c>
      <c r="C198">
        <f>IF($A198&gt;TODAY(),"",IFERROR(INDEX(Credit_KPIs_Tbl[Today Financing Amount],MATCH($A198,Credit_KPIs_Tbl[Date - التاريخ],0)),""))</f>
        <v/>
      </c>
      <c r="D198">
        <f>IF($A198&gt;TODAY(),"",IFERROR(INDEX(Credit_KPIs_Tbl[Total Number Contracts],MATCH($A198,Credit_KPIs_Tbl[Date - التاريخ],0)),""))</f>
        <v/>
      </c>
      <c r="E198">
        <f>IF($A198&gt;TODAY(),"",IFERROR(INDEX(Credit_KPIs_Tbl[Cancelled],MATCH($A198,Credit_KPIs_Tbl[Date - التاريخ],0)),""))</f>
        <v/>
      </c>
      <c r="F198">
        <f>IF($A198&gt;TODAY(),"",SUMIFS(Collection_Summary_Tbl[Amount - المبلغ],Collection_Summary_Tbl[Item - البند],"الاجمالي",Collection_Summary_Tbl[Date To - الى],$A198))</f>
        <v/>
      </c>
      <c r="G198">
        <f>IF($A198&gt;TODAY(),"",SUMIFS(Sales_Tbl[Count - العدد],Sales_Tbl[Date - التاريخ],$A198))</f>
        <v/>
      </c>
      <c r="H198">
        <f>IF($A198&gt;TODAY(),"",SUMIFS(Sales_Tbl[Count - العدد],Sales_Tbl[Status - الحالة],"Accepted - تم التنفيذ",Sales_Tbl[Date - التاريخ],$A198))</f>
        <v/>
      </c>
      <c r="I198">
        <f>IF($A198&gt;TODAY(),"",SUMIFS(Customer_Care_Tbl[Active - نشط],Customer_Care_Tbl[Date - التاريخ],$A198))</f>
        <v/>
      </c>
      <c r="J198">
        <f>IF($A198&gt;TODAY(),"",SUMIFS(Customer_Care_Tbl[Close - مغلق],Customer_Care_Tbl[Date - التاريخ],$A198))</f>
        <v/>
      </c>
    </row>
    <row r="199">
      <c r="A199">
        <f>A198+1</f>
        <v/>
      </c>
      <c r="B199">
        <f>IF($A199&gt;TODAY(),"",IFERROR(INDEX(Credit_KPIs_Tbl[Total Financing Amount],MATCH($A199,Credit_KPIs_Tbl[Date - التاريخ],0)),""))</f>
        <v/>
      </c>
      <c r="C199">
        <f>IF($A199&gt;TODAY(),"",IFERROR(INDEX(Credit_KPIs_Tbl[Today Financing Amount],MATCH($A199,Credit_KPIs_Tbl[Date - التاريخ],0)),""))</f>
        <v/>
      </c>
      <c r="D199">
        <f>IF($A199&gt;TODAY(),"",IFERROR(INDEX(Credit_KPIs_Tbl[Total Number Contracts],MATCH($A199,Credit_KPIs_Tbl[Date - التاريخ],0)),""))</f>
        <v/>
      </c>
      <c r="E199">
        <f>IF($A199&gt;TODAY(),"",IFERROR(INDEX(Credit_KPIs_Tbl[Cancelled],MATCH($A199,Credit_KPIs_Tbl[Date - التاريخ],0)),""))</f>
        <v/>
      </c>
      <c r="F199">
        <f>IF($A199&gt;TODAY(),"",SUMIFS(Collection_Summary_Tbl[Amount - المبلغ],Collection_Summary_Tbl[Item - البند],"الاجمالي",Collection_Summary_Tbl[Date To - الى],$A199))</f>
        <v/>
      </c>
      <c r="G199">
        <f>IF($A199&gt;TODAY(),"",SUMIFS(Sales_Tbl[Count - العدد],Sales_Tbl[Date - التاريخ],$A199))</f>
        <v/>
      </c>
      <c r="H199">
        <f>IF($A199&gt;TODAY(),"",SUMIFS(Sales_Tbl[Count - العدد],Sales_Tbl[Status - الحالة],"Accepted - تم التنفيذ",Sales_Tbl[Date - التاريخ],$A199))</f>
        <v/>
      </c>
      <c r="I199">
        <f>IF($A199&gt;TODAY(),"",SUMIFS(Customer_Care_Tbl[Active - نشط],Customer_Care_Tbl[Date - التاريخ],$A199))</f>
        <v/>
      </c>
      <c r="J199">
        <f>IF($A199&gt;TODAY(),"",SUMIFS(Customer_Care_Tbl[Close - مغلق],Customer_Care_Tbl[Date - التاريخ],$A199))</f>
        <v/>
      </c>
    </row>
    <row r="200">
      <c r="A200">
        <f>A199+1</f>
        <v/>
      </c>
      <c r="B200">
        <f>IF($A200&gt;TODAY(),"",IFERROR(INDEX(Credit_KPIs_Tbl[Total Financing Amount],MATCH($A200,Credit_KPIs_Tbl[Date - التاريخ],0)),""))</f>
        <v/>
      </c>
      <c r="C200">
        <f>IF($A200&gt;TODAY(),"",IFERROR(INDEX(Credit_KPIs_Tbl[Today Financing Amount],MATCH($A200,Credit_KPIs_Tbl[Date - التاريخ],0)),""))</f>
        <v/>
      </c>
      <c r="D200">
        <f>IF($A200&gt;TODAY(),"",IFERROR(INDEX(Credit_KPIs_Tbl[Total Number Contracts],MATCH($A200,Credit_KPIs_Tbl[Date - التاريخ],0)),""))</f>
        <v/>
      </c>
      <c r="E200">
        <f>IF($A200&gt;TODAY(),"",IFERROR(INDEX(Credit_KPIs_Tbl[Cancelled],MATCH($A200,Credit_KPIs_Tbl[Date - التاريخ],0)),""))</f>
        <v/>
      </c>
      <c r="F200">
        <f>IF($A200&gt;TODAY(),"",SUMIFS(Collection_Summary_Tbl[Amount - المبلغ],Collection_Summary_Tbl[Item - البند],"الاجمالي",Collection_Summary_Tbl[Date To - الى],$A200))</f>
        <v/>
      </c>
      <c r="G200">
        <f>IF($A200&gt;TODAY(),"",SUMIFS(Sales_Tbl[Count - العدد],Sales_Tbl[Date - التاريخ],$A200))</f>
        <v/>
      </c>
      <c r="H200">
        <f>IF($A200&gt;TODAY(),"",SUMIFS(Sales_Tbl[Count - العدد],Sales_Tbl[Status - الحالة],"Accepted - تم التنفيذ",Sales_Tbl[Date - التاريخ],$A200))</f>
        <v/>
      </c>
      <c r="I200">
        <f>IF($A200&gt;TODAY(),"",SUMIFS(Customer_Care_Tbl[Active - نشط],Customer_Care_Tbl[Date - التاريخ],$A200))</f>
        <v/>
      </c>
      <c r="J200">
        <f>IF($A200&gt;TODAY(),"",SUMIFS(Customer_Care_Tbl[Close - مغلق],Customer_Care_Tbl[Date - التاريخ],$A200))</f>
        <v/>
      </c>
    </row>
    <row r="201">
      <c r="A201">
        <f>A200+1</f>
        <v/>
      </c>
      <c r="B201">
        <f>IF($A201&gt;TODAY(),"",IFERROR(INDEX(Credit_KPIs_Tbl[Total Financing Amount],MATCH($A201,Credit_KPIs_Tbl[Date - التاريخ],0)),""))</f>
        <v/>
      </c>
      <c r="C201">
        <f>IF($A201&gt;TODAY(),"",IFERROR(INDEX(Credit_KPIs_Tbl[Today Financing Amount],MATCH($A201,Credit_KPIs_Tbl[Date - التاريخ],0)),""))</f>
        <v/>
      </c>
      <c r="D201">
        <f>IF($A201&gt;TODAY(),"",IFERROR(INDEX(Credit_KPIs_Tbl[Total Number Contracts],MATCH($A201,Credit_KPIs_Tbl[Date - التاريخ],0)),""))</f>
        <v/>
      </c>
      <c r="E201">
        <f>IF($A201&gt;TODAY(),"",IFERROR(INDEX(Credit_KPIs_Tbl[Cancelled],MATCH($A201,Credit_KPIs_Tbl[Date - التاريخ],0)),""))</f>
        <v/>
      </c>
      <c r="F201">
        <f>IF($A201&gt;TODAY(),"",SUMIFS(Collection_Summary_Tbl[Amount - المبلغ],Collection_Summary_Tbl[Item - البند],"الاجمالي",Collection_Summary_Tbl[Date To - الى],$A201))</f>
        <v/>
      </c>
      <c r="G201">
        <f>IF($A201&gt;TODAY(),"",SUMIFS(Sales_Tbl[Count - العدد],Sales_Tbl[Date - التاريخ],$A201))</f>
        <v/>
      </c>
      <c r="H201">
        <f>IF($A201&gt;TODAY(),"",SUMIFS(Sales_Tbl[Count - العدد],Sales_Tbl[Status - الحالة],"Accepted - تم التنفيذ",Sales_Tbl[Date - التاريخ],$A201))</f>
        <v/>
      </c>
      <c r="I201">
        <f>IF($A201&gt;TODAY(),"",SUMIFS(Customer_Care_Tbl[Active - نشط],Customer_Care_Tbl[Date - التاريخ],$A201))</f>
        <v/>
      </c>
      <c r="J201">
        <f>IF($A201&gt;TODAY(),"",SUMIFS(Customer_Care_Tbl[Close - مغلق],Customer_Care_Tbl[Date - التاريخ],$A201))</f>
        <v/>
      </c>
    </row>
    <row r="202">
      <c r="A202">
        <f>A201+1</f>
        <v/>
      </c>
      <c r="B202">
        <f>IF($A202&gt;TODAY(),"",IFERROR(INDEX(Credit_KPIs_Tbl[Total Financing Amount],MATCH($A202,Credit_KPIs_Tbl[Date - التاريخ],0)),""))</f>
        <v/>
      </c>
      <c r="C202">
        <f>IF($A202&gt;TODAY(),"",IFERROR(INDEX(Credit_KPIs_Tbl[Today Financing Amount],MATCH($A202,Credit_KPIs_Tbl[Date - التاريخ],0)),""))</f>
        <v/>
      </c>
      <c r="D202">
        <f>IF($A202&gt;TODAY(),"",IFERROR(INDEX(Credit_KPIs_Tbl[Total Number Contracts],MATCH($A202,Credit_KPIs_Tbl[Date - التاريخ],0)),""))</f>
        <v/>
      </c>
      <c r="E202">
        <f>IF($A202&gt;TODAY(),"",IFERROR(INDEX(Credit_KPIs_Tbl[Cancelled],MATCH($A202,Credit_KPIs_Tbl[Date - التاريخ],0)),""))</f>
        <v/>
      </c>
      <c r="F202">
        <f>IF($A202&gt;TODAY(),"",SUMIFS(Collection_Summary_Tbl[Amount - المبلغ],Collection_Summary_Tbl[Item - البند],"الاجمالي",Collection_Summary_Tbl[Date To - الى],$A202))</f>
        <v/>
      </c>
      <c r="G202">
        <f>IF($A202&gt;TODAY(),"",SUMIFS(Sales_Tbl[Count - العدد],Sales_Tbl[Date - التاريخ],$A202))</f>
        <v/>
      </c>
      <c r="H202">
        <f>IF($A202&gt;TODAY(),"",SUMIFS(Sales_Tbl[Count - العدد],Sales_Tbl[Status - الحالة],"Accepted - تم التنفيذ",Sales_Tbl[Date - التاريخ],$A202))</f>
        <v/>
      </c>
      <c r="I202">
        <f>IF($A202&gt;TODAY(),"",SUMIFS(Customer_Care_Tbl[Active - نشط],Customer_Care_Tbl[Date - التاريخ],$A202))</f>
        <v/>
      </c>
      <c r="J202">
        <f>IF($A202&gt;TODAY(),"",SUMIFS(Customer_Care_Tbl[Close - مغلق],Customer_Care_Tbl[Date - التاريخ],$A202))</f>
        <v/>
      </c>
    </row>
    <row r="203">
      <c r="A203">
        <f>A202+1</f>
        <v/>
      </c>
      <c r="B203">
        <f>IF($A203&gt;TODAY(),"",IFERROR(INDEX(Credit_KPIs_Tbl[Total Financing Amount],MATCH($A203,Credit_KPIs_Tbl[Date - التاريخ],0)),""))</f>
        <v/>
      </c>
      <c r="C203">
        <f>IF($A203&gt;TODAY(),"",IFERROR(INDEX(Credit_KPIs_Tbl[Today Financing Amount],MATCH($A203,Credit_KPIs_Tbl[Date - التاريخ],0)),""))</f>
        <v/>
      </c>
      <c r="D203">
        <f>IF($A203&gt;TODAY(),"",IFERROR(INDEX(Credit_KPIs_Tbl[Total Number Contracts],MATCH($A203,Credit_KPIs_Tbl[Date - التاريخ],0)),""))</f>
        <v/>
      </c>
      <c r="E203">
        <f>IF($A203&gt;TODAY(),"",IFERROR(INDEX(Credit_KPIs_Tbl[Cancelled],MATCH($A203,Credit_KPIs_Tbl[Date - التاريخ],0)),""))</f>
        <v/>
      </c>
      <c r="F203">
        <f>IF($A203&gt;TODAY(),"",SUMIFS(Collection_Summary_Tbl[Amount - المبلغ],Collection_Summary_Tbl[Item - البند],"الاجمالي",Collection_Summary_Tbl[Date To - الى],$A203))</f>
        <v/>
      </c>
      <c r="G203">
        <f>IF($A203&gt;TODAY(),"",SUMIFS(Sales_Tbl[Count - العدد],Sales_Tbl[Date - التاريخ],$A203))</f>
        <v/>
      </c>
      <c r="H203">
        <f>IF($A203&gt;TODAY(),"",SUMIFS(Sales_Tbl[Count - العدد],Sales_Tbl[Status - الحالة],"Accepted - تم التنفيذ",Sales_Tbl[Date - التاريخ],$A203))</f>
        <v/>
      </c>
      <c r="I203">
        <f>IF($A203&gt;TODAY(),"",SUMIFS(Customer_Care_Tbl[Active - نشط],Customer_Care_Tbl[Date - التاريخ],$A203))</f>
        <v/>
      </c>
      <c r="J203">
        <f>IF($A203&gt;TODAY(),"",SUMIFS(Customer_Care_Tbl[Close - مغلق],Customer_Care_Tbl[Date - التاريخ],$A203))</f>
        <v/>
      </c>
    </row>
    <row r="204">
      <c r="A204">
        <f>A203+1</f>
        <v/>
      </c>
      <c r="B204">
        <f>IF($A204&gt;TODAY(),"",IFERROR(INDEX(Credit_KPIs_Tbl[Total Financing Amount],MATCH($A204,Credit_KPIs_Tbl[Date - التاريخ],0)),""))</f>
        <v/>
      </c>
      <c r="C204">
        <f>IF($A204&gt;TODAY(),"",IFERROR(INDEX(Credit_KPIs_Tbl[Today Financing Amount],MATCH($A204,Credit_KPIs_Tbl[Date - التاريخ],0)),""))</f>
        <v/>
      </c>
      <c r="D204">
        <f>IF($A204&gt;TODAY(),"",IFERROR(INDEX(Credit_KPIs_Tbl[Total Number Contracts],MATCH($A204,Credit_KPIs_Tbl[Date - التاريخ],0)),""))</f>
        <v/>
      </c>
      <c r="E204">
        <f>IF($A204&gt;TODAY(),"",IFERROR(INDEX(Credit_KPIs_Tbl[Cancelled],MATCH($A204,Credit_KPIs_Tbl[Date - التاريخ],0)),""))</f>
        <v/>
      </c>
      <c r="F204">
        <f>IF($A204&gt;TODAY(),"",SUMIFS(Collection_Summary_Tbl[Amount - المبلغ],Collection_Summary_Tbl[Item - البند],"الاجمالي",Collection_Summary_Tbl[Date To - الى],$A204))</f>
        <v/>
      </c>
      <c r="G204">
        <f>IF($A204&gt;TODAY(),"",SUMIFS(Sales_Tbl[Count - العدد],Sales_Tbl[Date - التاريخ],$A204))</f>
        <v/>
      </c>
      <c r="H204">
        <f>IF($A204&gt;TODAY(),"",SUMIFS(Sales_Tbl[Count - العدد],Sales_Tbl[Status - الحالة],"Accepted - تم التنفيذ",Sales_Tbl[Date - التاريخ],$A204))</f>
        <v/>
      </c>
      <c r="I204">
        <f>IF($A204&gt;TODAY(),"",SUMIFS(Customer_Care_Tbl[Active - نشط],Customer_Care_Tbl[Date - التاريخ],$A204))</f>
        <v/>
      </c>
      <c r="J204">
        <f>IF($A204&gt;TODAY(),"",SUMIFS(Customer_Care_Tbl[Close - مغلق],Customer_Care_Tbl[Date - التاريخ],$A204))</f>
        <v/>
      </c>
    </row>
    <row r="205">
      <c r="A205">
        <f>A204+1</f>
        <v/>
      </c>
      <c r="B205">
        <f>IF($A205&gt;TODAY(),"",IFERROR(INDEX(Credit_KPIs_Tbl[Total Financing Amount],MATCH($A205,Credit_KPIs_Tbl[Date - التاريخ],0)),""))</f>
        <v/>
      </c>
      <c r="C205">
        <f>IF($A205&gt;TODAY(),"",IFERROR(INDEX(Credit_KPIs_Tbl[Today Financing Amount],MATCH($A205,Credit_KPIs_Tbl[Date - التاريخ],0)),""))</f>
        <v/>
      </c>
      <c r="D205">
        <f>IF($A205&gt;TODAY(),"",IFERROR(INDEX(Credit_KPIs_Tbl[Total Number Contracts],MATCH($A205,Credit_KPIs_Tbl[Date - التاريخ],0)),""))</f>
        <v/>
      </c>
      <c r="E205">
        <f>IF($A205&gt;TODAY(),"",IFERROR(INDEX(Credit_KPIs_Tbl[Cancelled],MATCH($A205,Credit_KPIs_Tbl[Date - التاريخ],0)),""))</f>
        <v/>
      </c>
      <c r="F205">
        <f>IF($A205&gt;TODAY(),"",SUMIFS(Collection_Summary_Tbl[Amount - المبلغ],Collection_Summary_Tbl[Item - البند],"الاجمالي",Collection_Summary_Tbl[Date To - الى],$A205))</f>
        <v/>
      </c>
      <c r="G205">
        <f>IF($A205&gt;TODAY(),"",SUMIFS(Sales_Tbl[Count - العدد],Sales_Tbl[Date - التاريخ],$A205))</f>
        <v/>
      </c>
      <c r="H205">
        <f>IF($A205&gt;TODAY(),"",SUMIFS(Sales_Tbl[Count - العدد],Sales_Tbl[Status - الحالة],"Accepted - تم التنفيذ",Sales_Tbl[Date - التاريخ],$A205))</f>
        <v/>
      </c>
      <c r="I205">
        <f>IF($A205&gt;TODAY(),"",SUMIFS(Customer_Care_Tbl[Active - نشط],Customer_Care_Tbl[Date - التاريخ],$A205))</f>
        <v/>
      </c>
      <c r="J205">
        <f>IF($A205&gt;TODAY(),"",SUMIFS(Customer_Care_Tbl[Close - مغلق],Customer_Care_Tbl[Date - التاريخ],$A205))</f>
        <v/>
      </c>
    </row>
    <row r="206">
      <c r="A206">
        <f>A205+1</f>
        <v/>
      </c>
      <c r="B206">
        <f>IF($A206&gt;TODAY(),"",IFERROR(INDEX(Credit_KPIs_Tbl[Total Financing Amount],MATCH($A206,Credit_KPIs_Tbl[Date - التاريخ],0)),""))</f>
        <v/>
      </c>
      <c r="C206">
        <f>IF($A206&gt;TODAY(),"",IFERROR(INDEX(Credit_KPIs_Tbl[Today Financing Amount],MATCH($A206,Credit_KPIs_Tbl[Date - التاريخ],0)),""))</f>
        <v/>
      </c>
      <c r="D206">
        <f>IF($A206&gt;TODAY(),"",IFERROR(INDEX(Credit_KPIs_Tbl[Total Number Contracts],MATCH($A206,Credit_KPIs_Tbl[Date - التاريخ],0)),""))</f>
        <v/>
      </c>
      <c r="E206">
        <f>IF($A206&gt;TODAY(),"",IFERROR(INDEX(Credit_KPIs_Tbl[Cancelled],MATCH($A206,Credit_KPIs_Tbl[Date - التاريخ],0)),""))</f>
        <v/>
      </c>
      <c r="F206">
        <f>IF($A206&gt;TODAY(),"",SUMIFS(Collection_Summary_Tbl[Amount - المبلغ],Collection_Summary_Tbl[Item - البند],"الاجمالي",Collection_Summary_Tbl[Date To - الى],$A206))</f>
        <v/>
      </c>
      <c r="G206">
        <f>IF($A206&gt;TODAY(),"",SUMIFS(Sales_Tbl[Count - العدد],Sales_Tbl[Date - التاريخ],$A206))</f>
        <v/>
      </c>
      <c r="H206">
        <f>IF($A206&gt;TODAY(),"",SUMIFS(Sales_Tbl[Count - العدد],Sales_Tbl[Status - الحالة],"Accepted - تم التنفيذ",Sales_Tbl[Date - التاريخ],$A206))</f>
        <v/>
      </c>
      <c r="I206">
        <f>IF($A206&gt;TODAY(),"",SUMIFS(Customer_Care_Tbl[Active - نشط],Customer_Care_Tbl[Date - التاريخ],$A206))</f>
        <v/>
      </c>
      <c r="J206">
        <f>IF($A206&gt;TODAY(),"",SUMIFS(Customer_Care_Tbl[Close - مغلق],Customer_Care_Tbl[Date - التاريخ],$A206))</f>
        <v/>
      </c>
    </row>
    <row r="207">
      <c r="A207">
        <f>A206+1</f>
        <v/>
      </c>
      <c r="B207">
        <f>IF($A207&gt;TODAY(),"",IFERROR(INDEX(Credit_KPIs_Tbl[Total Financing Amount],MATCH($A207,Credit_KPIs_Tbl[Date - التاريخ],0)),""))</f>
        <v/>
      </c>
      <c r="C207">
        <f>IF($A207&gt;TODAY(),"",IFERROR(INDEX(Credit_KPIs_Tbl[Today Financing Amount],MATCH($A207,Credit_KPIs_Tbl[Date - التاريخ],0)),""))</f>
        <v/>
      </c>
      <c r="D207">
        <f>IF($A207&gt;TODAY(),"",IFERROR(INDEX(Credit_KPIs_Tbl[Total Number Contracts],MATCH($A207,Credit_KPIs_Tbl[Date - التاريخ],0)),""))</f>
        <v/>
      </c>
      <c r="E207">
        <f>IF($A207&gt;TODAY(),"",IFERROR(INDEX(Credit_KPIs_Tbl[Cancelled],MATCH($A207,Credit_KPIs_Tbl[Date - التاريخ],0)),""))</f>
        <v/>
      </c>
      <c r="F207">
        <f>IF($A207&gt;TODAY(),"",SUMIFS(Collection_Summary_Tbl[Amount - المبلغ],Collection_Summary_Tbl[Item - البند],"الاجمالي",Collection_Summary_Tbl[Date To - الى],$A207))</f>
        <v/>
      </c>
      <c r="G207">
        <f>IF($A207&gt;TODAY(),"",SUMIFS(Sales_Tbl[Count - العدد],Sales_Tbl[Date - التاريخ],$A207))</f>
        <v/>
      </c>
      <c r="H207">
        <f>IF($A207&gt;TODAY(),"",SUMIFS(Sales_Tbl[Count - العدد],Sales_Tbl[Status - الحالة],"Accepted - تم التنفيذ",Sales_Tbl[Date - التاريخ],$A207))</f>
        <v/>
      </c>
      <c r="I207">
        <f>IF($A207&gt;TODAY(),"",SUMIFS(Customer_Care_Tbl[Active - نشط],Customer_Care_Tbl[Date - التاريخ],$A207))</f>
        <v/>
      </c>
      <c r="J207">
        <f>IF($A207&gt;TODAY(),"",SUMIFS(Customer_Care_Tbl[Close - مغلق],Customer_Care_Tbl[Date - التاريخ],$A207))</f>
        <v/>
      </c>
    </row>
    <row r="208">
      <c r="A208">
        <f>A207+1</f>
        <v/>
      </c>
      <c r="B208">
        <f>IF($A208&gt;TODAY(),"",IFERROR(INDEX(Credit_KPIs_Tbl[Total Financing Amount],MATCH($A208,Credit_KPIs_Tbl[Date - التاريخ],0)),""))</f>
        <v/>
      </c>
      <c r="C208">
        <f>IF($A208&gt;TODAY(),"",IFERROR(INDEX(Credit_KPIs_Tbl[Today Financing Amount],MATCH($A208,Credit_KPIs_Tbl[Date - التاريخ],0)),""))</f>
        <v/>
      </c>
      <c r="D208">
        <f>IF($A208&gt;TODAY(),"",IFERROR(INDEX(Credit_KPIs_Tbl[Total Number Contracts],MATCH($A208,Credit_KPIs_Tbl[Date - التاريخ],0)),""))</f>
        <v/>
      </c>
      <c r="E208">
        <f>IF($A208&gt;TODAY(),"",IFERROR(INDEX(Credit_KPIs_Tbl[Cancelled],MATCH($A208,Credit_KPIs_Tbl[Date - التاريخ],0)),""))</f>
        <v/>
      </c>
      <c r="F208">
        <f>IF($A208&gt;TODAY(),"",SUMIFS(Collection_Summary_Tbl[Amount - المبلغ],Collection_Summary_Tbl[Item - البند],"الاجمالي",Collection_Summary_Tbl[Date To - الى],$A208))</f>
        <v/>
      </c>
      <c r="G208">
        <f>IF($A208&gt;TODAY(),"",SUMIFS(Sales_Tbl[Count - العدد],Sales_Tbl[Date - التاريخ],$A208))</f>
        <v/>
      </c>
      <c r="H208">
        <f>IF($A208&gt;TODAY(),"",SUMIFS(Sales_Tbl[Count - العدد],Sales_Tbl[Status - الحالة],"Accepted - تم التنفيذ",Sales_Tbl[Date - التاريخ],$A208))</f>
        <v/>
      </c>
      <c r="I208">
        <f>IF($A208&gt;TODAY(),"",SUMIFS(Customer_Care_Tbl[Active - نشط],Customer_Care_Tbl[Date - التاريخ],$A208))</f>
        <v/>
      </c>
      <c r="J208">
        <f>IF($A208&gt;TODAY(),"",SUMIFS(Customer_Care_Tbl[Close - مغلق],Customer_Care_Tbl[Date - التاريخ],$A208))</f>
        <v/>
      </c>
    </row>
    <row r="209">
      <c r="A209">
        <f>A208+1</f>
        <v/>
      </c>
      <c r="B209">
        <f>IF($A209&gt;TODAY(),"",IFERROR(INDEX(Credit_KPIs_Tbl[Total Financing Amount],MATCH($A209,Credit_KPIs_Tbl[Date - التاريخ],0)),""))</f>
        <v/>
      </c>
      <c r="C209">
        <f>IF($A209&gt;TODAY(),"",IFERROR(INDEX(Credit_KPIs_Tbl[Today Financing Amount],MATCH($A209,Credit_KPIs_Tbl[Date - التاريخ],0)),""))</f>
        <v/>
      </c>
      <c r="D209">
        <f>IF($A209&gt;TODAY(),"",IFERROR(INDEX(Credit_KPIs_Tbl[Total Number Contracts],MATCH($A209,Credit_KPIs_Tbl[Date - التاريخ],0)),""))</f>
        <v/>
      </c>
      <c r="E209">
        <f>IF($A209&gt;TODAY(),"",IFERROR(INDEX(Credit_KPIs_Tbl[Cancelled],MATCH($A209,Credit_KPIs_Tbl[Date - التاريخ],0)),""))</f>
        <v/>
      </c>
      <c r="F209">
        <f>IF($A209&gt;TODAY(),"",SUMIFS(Collection_Summary_Tbl[Amount - المبلغ],Collection_Summary_Tbl[Item - البند],"الاجمالي",Collection_Summary_Tbl[Date To - الى],$A209))</f>
        <v/>
      </c>
      <c r="G209">
        <f>IF($A209&gt;TODAY(),"",SUMIFS(Sales_Tbl[Count - العدد],Sales_Tbl[Date - التاريخ],$A209))</f>
        <v/>
      </c>
      <c r="H209">
        <f>IF($A209&gt;TODAY(),"",SUMIFS(Sales_Tbl[Count - العدد],Sales_Tbl[Status - الحالة],"Accepted - تم التنفيذ",Sales_Tbl[Date - التاريخ],$A209))</f>
        <v/>
      </c>
      <c r="I209">
        <f>IF($A209&gt;TODAY(),"",SUMIFS(Customer_Care_Tbl[Active - نشط],Customer_Care_Tbl[Date - التاريخ],$A209))</f>
        <v/>
      </c>
      <c r="J209">
        <f>IF($A209&gt;TODAY(),"",SUMIFS(Customer_Care_Tbl[Close - مغلق],Customer_Care_Tbl[Date - التاريخ],$A209))</f>
        <v/>
      </c>
    </row>
    <row r="210">
      <c r="A210">
        <f>A209+1</f>
        <v/>
      </c>
      <c r="B210">
        <f>IF($A210&gt;TODAY(),"",IFERROR(INDEX(Credit_KPIs_Tbl[Total Financing Amount],MATCH($A210,Credit_KPIs_Tbl[Date - التاريخ],0)),""))</f>
        <v/>
      </c>
      <c r="C210">
        <f>IF($A210&gt;TODAY(),"",IFERROR(INDEX(Credit_KPIs_Tbl[Today Financing Amount],MATCH($A210,Credit_KPIs_Tbl[Date - التاريخ],0)),""))</f>
        <v/>
      </c>
      <c r="D210">
        <f>IF($A210&gt;TODAY(),"",IFERROR(INDEX(Credit_KPIs_Tbl[Total Number Contracts],MATCH($A210,Credit_KPIs_Tbl[Date - التاريخ],0)),""))</f>
        <v/>
      </c>
      <c r="E210">
        <f>IF($A210&gt;TODAY(),"",IFERROR(INDEX(Credit_KPIs_Tbl[Cancelled],MATCH($A210,Credit_KPIs_Tbl[Date - التاريخ],0)),""))</f>
        <v/>
      </c>
      <c r="F210">
        <f>IF($A210&gt;TODAY(),"",SUMIFS(Collection_Summary_Tbl[Amount - المبلغ],Collection_Summary_Tbl[Item - البند],"الاجمالي",Collection_Summary_Tbl[Date To - الى],$A210))</f>
        <v/>
      </c>
      <c r="G210">
        <f>IF($A210&gt;TODAY(),"",SUMIFS(Sales_Tbl[Count - العدد],Sales_Tbl[Date - التاريخ],$A210))</f>
        <v/>
      </c>
      <c r="H210">
        <f>IF($A210&gt;TODAY(),"",SUMIFS(Sales_Tbl[Count - العدد],Sales_Tbl[Status - الحالة],"Accepted - تم التنفيذ",Sales_Tbl[Date - التاريخ],$A210))</f>
        <v/>
      </c>
      <c r="I210">
        <f>IF($A210&gt;TODAY(),"",SUMIFS(Customer_Care_Tbl[Active - نشط],Customer_Care_Tbl[Date - التاريخ],$A210))</f>
        <v/>
      </c>
      <c r="J210">
        <f>IF($A210&gt;TODAY(),"",SUMIFS(Customer_Care_Tbl[Close - مغلق],Customer_Care_Tbl[Date - التاريخ],$A210))</f>
        <v/>
      </c>
    </row>
    <row r="211">
      <c r="A211">
        <f>A210+1</f>
        <v/>
      </c>
      <c r="B211">
        <f>IF($A211&gt;TODAY(),"",IFERROR(INDEX(Credit_KPIs_Tbl[Total Financing Amount],MATCH($A211,Credit_KPIs_Tbl[Date - التاريخ],0)),""))</f>
        <v/>
      </c>
      <c r="C211">
        <f>IF($A211&gt;TODAY(),"",IFERROR(INDEX(Credit_KPIs_Tbl[Today Financing Amount],MATCH($A211,Credit_KPIs_Tbl[Date - التاريخ],0)),""))</f>
        <v/>
      </c>
      <c r="D211">
        <f>IF($A211&gt;TODAY(),"",IFERROR(INDEX(Credit_KPIs_Tbl[Total Number Contracts],MATCH($A211,Credit_KPIs_Tbl[Date - التاريخ],0)),""))</f>
        <v/>
      </c>
      <c r="E211">
        <f>IF($A211&gt;TODAY(),"",IFERROR(INDEX(Credit_KPIs_Tbl[Cancelled],MATCH($A211,Credit_KPIs_Tbl[Date - التاريخ],0)),""))</f>
        <v/>
      </c>
      <c r="F211">
        <f>IF($A211&gt;TODAY(),"",SUMIFS(Collection_Summary_Tbl[Amount - المبلغ],Collection_Summary_Tbl[Item - البند],"الاجمالي",Collection_Summary_Tbl[Date To - الى],$A211))</f>
        <v/>
      </c>
      <c r="G211">
        <f>IF($A211&gt;TODAY(),"",SUMIFS(Sales_Tbl[Count - العدد],Sales_Tbl[Date - التاريخ],$A211))</f>
        <v/>
      </c>
      <c r="H211">
        <f>IF($A211&gt;TODAY(),"",SUMIFS(Sales_Tbl[Count - العدد],Sales_Tbl[Status - الحالة],"Accepted - تم التنفيذ",Sales_Tbl[Date - التاريخ],$A211))</f>
        <v/>
      </c>
      <c r="I211">
        <f>IF($A211&gt;TODAY(),"",SUMIFS(Customer_Care_Tbl[Active - نشط],Customer_Care_Tbl[Date - التاريخ],$A211))</f>
        <v/>
      </c>
      <c r="J211">
        <f>IF($A211&gt;TODAY(),"",SUMIFS(Customer_Care_Tbl[Close - مغلق],Customer_Care_Tbl[Date - التاريخ],$A211))</f>
        <v/>
      </c>
    </row>
    <row r="212">
      <c r="A212">
        <f>A211+1</f>
        <v/>
      </c>
      <c r="B212">
        <f>IF($A212&gt;TODAY(),"",IFERROR(INDEX(Credit_KPIs_Tbl[Total Financing Amount],MATCH($A212,Credit_KPIs_Tbl[Date - التاريخ],0)),""))</f>
        <v/>
      </c>
      <c r="C212">
        <f>IF($A212&gt;TODAY(),"",IFERROR(INDEX(Credit_KPIs_Tbl[Today Financing Amount],MATCH($A212,Credit_KPIs_Tbl[Date - التاريخ],0)),""))</f>
        <v/>
      </c>
      <c r="D212">
        <f>IF($A212&gt;TODAY(),"",IFERROR(INDEX(Credit_KPIs_Tbl[Total Number Contracts],MATCH($A212,Credit_KPIs_Tbl[Date - التاريخ],0)),""))</f>
        <v/>
      </c>
      <c r="E212">
        <f>IF($A212&gt;TODAY(),"",IFERROR(INDEX(Credit_KPIs_Tbl[Cancelled],MATCH($A212,Credit_KPIs_Tbl[Date - التاريخ],0)),""))</f>
        <v/>
      </c>
      <c r="F212">
        <f>IF($A212&gt;TODAY(),"",SUMIFS(Collection_Summary_Tbl[Amount - المبلغ],Collection_Summary_Tbl[Item - البند],"الاجمالي",Collection_Summary_Tbl[Date To - الى],$A212))</f>
        <v/>
      </c>
      <c r="G212">
        <f>IF($A212&gt;TODAY(),"",SUMIFS(Sales_Tbl[Count - العدد],Sales_Tbl[Date - التاريخ],$A212))</f>
        <v/>
      </c>
      <c r="H212">
        <f>IF($A212&gt;TODAY(),"",SUMIFS(Sales_Tbl[Count - العدد],Sales_Tbl[Status - الحالة],"Accepted - تم التنفيذ",Sales_Tbl[Date - التاريخ],$A212))</f>
        <v/>
      </c>
      <c r="I212">
        <f>IF($A212&gt;TODAY(),"",SUMIFS(Customer_Care_Tbl[Active - نشط],Customer_Care_Tbl[Date - التاريخ],$A212))</f>
        <v/>
      </c>
      <c r="J212">
        <f>IF($A212&gt;TODAY(),"",SUMIFS(Customer_Care_Tbl[Close - مغلق],Customer_Care_Tbl[Date - التاريخ],$A212))</f>
        <v/>
      </c>
    </row>
    <row r="213">
      <c r="A213">
        <f>A212+1</f>
        <v/>
      </c>
      <c r="B213">
        <f>IF($A213&gt;TODAY(),"",IFERROR(INDEX(Credit_KPIs_Tbl[Total Financing Amount],MATCH($A213,Credit_KPIs_Tbl[Date - التاريخ],0)),""))</f>
        <v/>
      </c>
      <c r="C213">
        <f>IF($A213&gt;TODAY(),"",IFERROR(INDEX(Credit_KPIs_Tbl[Today Financing Amount],MATCH($A213,Credit_KPIs_Tbl[Date - التاريخ],0)),""))</f>
        <v/>
      </c>
      <c r="D213">
        <f>IF($A213&gt;TODAY(),"",IFERROR(INDEX(Credit_KPIs_Tbl[Total Number Contracts],MATCH($A213,Credit_KPIs_Tbl[Date - التاريخ],0)),""))</f>
        <v/>
      </c>
      <c r="E213">
        <f>IF($A213&gt;TODAY(),"",IFERROR(INDEX(Credit_KPIs_Tbl[Cancelled],MATCH($A213,Credit_KPIs_Tbl[Date - التاريخ],0)),""))</f>
        <v/>
      </c>
      <c r="F213">
        <f>IF($A213&gt;TODAY(),"",SUMIFS(Collection_Summary_Tbl[Amount - المبلغ],Collection_Summary_Tbl[Item - البند],"الاجمالي",Collection_Summary_Tbl[Date To - الى],$A213))</f>
        <v/>
      </c>
      <c r="G213">
        <f>IF($A213&gt;TODAY(),"",SUMIFS(Sales_Tbl[Count - العدد],Sales_Tbl[Date - التاريخ],$A213))</f>
        <v/>
      </c>
      <c r="H213">
        <f>IF($A213&gt;TODAY(),"",SUMIFS(Sales_Tbl[Count - العدد],Sales_Tbl[Status - الحالة],"Accepted - تم التنفيذ",Sales_Tbl[Date - التاريخ],$A213))</f>
        <v/>
      </c>
      <c r="I213">
        <f>IF($A213&gt;TODAY(),"",SUMIFS(Customer_Care_Tbl[Active - نشط],Customer_Care_Tbl[Date - التاريخ],$A213))</f>
        <v/>
      </c>
      <c r="J213">
        <f>IF($A213&gt;TODAY(),"",SUMIFS(Customer_Care_Tbl[Close - مغلق],Customer_Care_Tbl[Date - التاريخ],$A213))</f>
        <v/>
      </c>
    </row>
    <row r="214">
      <c r="A214">
        <f>A213+1</f>
        <v/>
      </c>
      <c r="B214">
        <f>IF($A214&gt;TODAY(),"",IFERROR(INDEX(Credit_KPIs_Tbl[Total Financing Amount],MATCH($A214,Credit_KPIs_Tbl[Date - التاريخ],0)),""))</f>
        <v/>
      </c>
      <c r="C214">
        <f>IF($A214&gt;TODAY(),"",IFERROR(INDEX(Credit_KPIs_Tbl[Today Financing Amount],MATCH($A214,Credit_KPIs_Tbl[Date - التاريخ],0)),""))</f>
        <v/>
      </c>
      <c r="D214">
        <f>IF($A214&gt;TODAY(),"",IFERROR(INDEX(Credit_KPIs_Tbl[Total Number Contracts],MATCH($A214,Credit_KPIs_Tbl[Date - التاريخ],0)),""))</f>
        <v/>
      </c>
      <c r="E214">
        <f>IF($A214&gt;TODAY(),"",IFERROR(INDEX(Credit_KPIs_Tbl[Cancelled],MATCH($A214,Credit_KPIs_Tbl[Date - التاريخ],0)),""))</f>
        <v/>
      </c>
      <c r="F214">
        <f>IF($A214&gt;TODAY(),"",SUMIFS(Collection_Summary_Tbl[Amount - المبلغ],Collection_Summary_Tbl[Item - البند],"الاجمالي",Collection_Summary_Tbl[Date To - الى],$A214))</f>
        <v/>
      </c>
      <c r="G214">
        <f>IF($A214&gt;TODAY(),"",SUMIFS(Sales_Tbl[Count - العدد],Sales_Tbl[Date - التاريخ],$A214))</f>
        <v/>
      </c>
      <c r="H214">
        <f>IF($A214&gt;TODAY(),"",SUMIFS(Sales_Tbl[Count - العدد],Sales_Tbl[Status - الحالة],"Accepted - تم التنفيذ",Sales_Tbl[Date - التاريخ],$A214))</f>
        <v/>
      </c>
      <c r="I214">
        <f>IF($A214&gt;TODAY(),"",SUMIFS(Customer_Care_Tbl[Active - نشط],Customer_Care_Tbl[Date - التاريخ],$A214))</f>
        <v/>
      </c>
      <c r="J214">
        <f>IF($A214&gt;TODAY(),"",SUMIFS(Customer_Care_Tbl[Close - مغلق],Customer_Care_Tbl[Date - التاريخ],$A214))</f>
        <v/>
      </c>
    </row>
    <row r="215">
      <c r="A215">
        <f>A214+1</f>
        <v/>
      </c>
      <c r="B215">
        <f>IF($A215&gt;TODAY(),"",IFERROR(INDEX(Credit_KPIs_Tbl[Total Financing Amount],MATCH($A215,Credit_KPIs_Tbl[Date - التاريخ],0)),""))</f>
        <v/>
      </c>
      <c r="C215">
        <f>IF($A215&gt;TODAY(),"",IFERROR(INDEX(Credit_KPIs_Tbl[Today Financing Amount],MATCH($A215,Credit_KPIs_Tbl[Date - التاريخ],0)),""))</f>
        <v/>
      </c>
      <c r="D215">
        <f>IF($A215&gt;TODAY(),"",IFERROR(INDEX(Credit_KPIs_Tbl[Total Number Contracts],MATCH($A215,Credit_KPIs_Tbl[Date - التاريخ],0)),""))</f>
        <v/>
      </c>
      <c r="E215">
        <f>IF($A215&gt;TODAY(),"",IFERROR(INDEX(Credit_KPIs_Tbl[Cancelled],MATCH($A215,Credit_KPIs_Tbl[Date - التاريخ],0)),""))</f>
        <v/>
      </c>
      <c r="F215">
        <f>IF($A215&gt;TODAY(),"",SUMIFS(Collection_Summary_Tbl[Amount - المبلغ],Collection_Summary_Tbl[Item - البند],"الاجمالي",Collection_Summary_Tbl[Date To - الى],$A215))</f>
        <v/>
      </c>
      <c r="G215">
        <f>IF($A215&gt;TODAY(),"",SUMIFS(Sales_Tbl[Count - العدد],Sales_Tbl[Date - التاريخ],$A215))</f>
        <v/>
      </c>
      <c r="H215">
        <f>IF($A215&gt;TODAY(),"",SUMIFS(Sales_Tbl[Count - العدد],Sales_Tbl[Status - الحالة],"Accepted - تم التنفيذ",Sales_Tbl[Date - التاريخ],$A215))</f>
        <v/>
      </c>
      <c r="I215">
        <f>IF($A215&gt;TODAY(),"",SUMIFS(Customer_Care_Tbl[Active - نشط],Customer_Care_Tbl[Date - التاريخ],$A215))</f>
        <v/>
      </c>
      <c r="J215">
        <f>IF($A215&gt;TODAY(),"",SUMIFS(Customer_Care_Tbl[Close - مغلق],Customer_Care_Tbl[Date - التاريخ],$A215))</f>
        <v/>
      </c>
    </row>
    <row r="216">
      <c r="A216">
        <f>A215+1</f>
        <v/>
      </c>
      <c r="B216">
        <f>IF($A216&gt;TODAY(),"",IFERROR(INDEX(Credit_KPIs_Tbl[Total Financing Amount],MATCH($A216,Credit_KPIs_Tbl[Date - التاريخ],0)),""))</f>
        <v/>
      </c>
      <c r="C216">
        <f>IF($A216&gt;TODAY(),"",IFERROR(INDEX(Credit_KPIs_Tbl[Today Financing Amount],MATCH($A216,Credit_KPIs_Tbl[Date - التاريخ],0)),""))</f>
        <v/>
      </c>
      <c r="D216">
        <f>IF($A216&gt;TODAY(),"",IFERROR(INDEX(Credit_KPIs_Tbl[Total Number Contracts],MATCH($A216,Credit_KPIs_Tbl[Date - التاريخ],0)),""))</f>
        <v/>
      </c>
      <c r="E216">
        <f>IF($A216&gt;TODAY(),"",IFERROR(INDEX(Credit_KPIs_Tbl[Cancelled],MATCH($A216,Credit_KPIs_Tbl[Date - التاريخ],0)),""))</f>
        <v/>
      </c>
      <c r="F216">
        <f>IF($A216&gt;TODAY(),"",SUMIFS(Collection_Summary_Tbl[Amount - المبلغ],Collection_Summary_Tbl[Item - البند],"الاجمالي",Collection_Summary_Tbl[Date To - الى],$A216))</f>
        <v/>
      </c>
      <c r="G216">
        <f>IF($A216&gt;TODAY(),"",SUMIFS(Sales_Tbl[Count - العدد],Sales_Tbl[Date - التاريخ],$A216))</f>
        <v/>
      </c>
      <c r="H216">
        <f>IF($A216&gt;TODAY(),"",SUMIFS(Sales_Tbl[Count - العدد],Sales_Tbl[Status - الحالة],"Accepted - تم التنفيذ",Sales_Tbl[Date - التاريخ],$A216))</f>
        <v/>
      </c>
      <c r="I216">
        <f>IF($A216&gt;TODAY(),"",SUMIFS(Customer_Care_Tbl[Active - نشط],Customer_Care_Tbl[Date - التاريخ],$A216))</f>
        <v/>
      </c>
      <c r="J216">
        <f>IF($A216&gt;TODAY(),"",SUMIFS(Customer_Care_Tbl[Close - مغلق],Customer_Care_Tbl[Date - التاريخ],$A216))</f>
        <v/>
      </c>
    </row>
    <row r="217">
      <c r="A217">
        <f>A216+1</f>
        <v/>
      </c>
      <c r="B217">
        <f>IF($A217&gt;TODAY(),"",IFERROR(INDEX(Credit_KPIs_Tbl[Total Financing Amount],MATCH($A217,Credit_KPIs_Tbl[Date - التاريخ],0)),""))</f>
        <v/>
      </c>
      <c r="C217">
        <f>IF($A217&gt;TODAY(),"",IFERROR(INDEX(Credit_KPIs_Tbl[Today Financing Amount],MATCH($A217,Credit_KPIs_Tbl[Date - التاريخ],0)),""))</f>
        <v/>
      </c>
      <c r="D217">
        <f>IF($A217&gt;TODAY(),"",IFERROR(INDEX(Credit_KPIs_Tbl[Total Number Contracts],MATCH($A217,Credit_KPIs_Tbl[Date - التاريخ],0)),""))</f>
        <v/>
      </c>
      <c r="E217">
        <f>IF($A217&gt;TODAY(),"",IFERROR(INDEX(Credit_KPIs_Tbl[Cancelled],MATCH($A217,Credit_KPIs_Tbl[Date - التاريخ],0)),""))</f>
        <v/>
      </c>
      <c r="F217">
        <f>IF($A217&gt;TODAY(),"",SUMIFS(Collection_Summary_Tbl[Amount - المبلغ],Collection_Summary_Tbl[Item - البند],"الاجمالي",Collection_Summary_Tbl[Date To - الى],$A217))</f>
        <v/>
      </c>
      <c r="G217">
        <f>IF($A217&gt;TODAY(),"",SUMIFS(Sales_Tbl[Count - العدد],Sales_Tbl[Date - التاريخ],$A217))</f>
        <v/>
      </c>
      <c r="H217">
        <f>IF($A217&gt;TODAY(),"",SUMIFS(Sales_Tbl[Count - العدد],Sales_Tbl[Status - الحالة],"Accepted - تم التنفيذ",Sales_Tbl[Date - التاريخ],$A217))</f>
        <v/>
      </c>
      <c r="I217">
        <f>IF($A217&gt;TODAY(),"",SUMIFS(Customer_Care_Tbl[Active - نشط],Customer_Care_Tbl[Date - التاريخ],$A217))</f>
        <v/>
      </c>
      <c r="J217">
        <f>IF($A217&gt;TODAY(),"",SUMIFS(Customer_Care_Tbl[Close - مغلق],Customer_Care_Tbl[Date - التاريخ],$A217))</f>
        <v/>
      </c>
    </row>
    <row r="218">
      <c r="A218">
        <f>A217+1</f>
        <v/>
      </c>
      <c r="B218">
        <f>IF($A218&gt;TODAY(),"",IFERROR(INDEX(Credit_KPIs_Tbl[Total Financing Amount],MATCH($A218,Credit_KPIs_Tbl[Date - التاريخ],0)),""))</f>
        <v/>
      </c>
      <c r="C218">
        <f>IF($A218&gt;TODAY(),"",IFERROR(INDEX(Credit_KPIs_Tbl[Today Financing Amount],MATCH($A218,Credit_KPIs_Tbl[Date - التاريخ],0)),""))</f>
        <v/>
      </c>
      <c r="D218">
        <f>IF($A218&gt;TODAY(),"",IFERROR(INDEX(Credit_KPIs_Tbl[Total Number Contracts],MATCH($A218,Credit_KPIs_Tbl[Date - التاريخ],0)),""))</f>
        <v/>
      </c>
      <c r="E218">
        <f>IF($A218&gt;TODAY(),"",IFERROR(INDEX(Credit_KPIs_Tbl[Cancelled],MATCH($A218,Credit_KPIs_Tbl[Date - التاريخ],0)),""))</f>
        <v/>
      </c>
      <c r="F218">
        <f>IF($A218&gt;TODAY(),"",SUMIFS(Collection_Summary_Tbl[Amount - المبلغ],Collection_Summary_Tbl[Item - البند],"الاجمالي",Collection_Summary_Tbl[Date To - الى],$A218))</f>
        <v/>
      </c>
      <c r="G218">
        <f>IF($A218&gt;TODAY(),"",SUMIFS(Sales_Tbl[Count - العدد],Sales_Tbl[Date - التاريخ],$A218))</f>
        <v/>
      </c>
      <c r="H218">
        <f>IF($A218&gt;TODAY(),"",SUMIFS(Sales_Tbl[Count - العدد],Sales_Tbl[Status - الحالة],"Accepted - تم التنفيذ",Sales_Tbl[Date - التاريخ],$A218))</f>
        <v/>
      </c>
      <c r="I218">
        <f>IF($A218&gt;TODAY(),"",SUMIFS(Customer_Care_Tbl[Active - نشط],Customer_Care_Tbl[Date - التاريخ],$A218))</f>
        <v/>
      </c>
      <c r="J218">
        <f>IF($A218&gt;TODAY(),"",SUMIFS(Customer_Care_Tbl[Close - مغلق],Customer_Care_Tbl[Date - التاريخ],$A218))</f>
        <v/>
      </c>
    </row>
    <row r="219">
      <c r="A219">
        <f>A218+1</f>
        <v/>
      </c>
      <c r="B219">
        <f>IF($A219&gt;TODAY(),"",IFERROR(INDEX(Credit_KPIs_Tbl[Total Financing Amount],MATCH($A219,Credit_KPIs_Tbl[Date - التاريخ],0)),""))</f>
        <v/>
      </c>
      <c r="C219">
        <f>IF($A219&gt;TODAY(),"",IFERROR(INDEX(Credit_KPIs_Tbl[Today Financing Amount],MATCH($A219,Credit_KPIs_Tbl[Date - التاريخ],0)),""))</f>
        <v/>
      </c>
      <c r="D219">
        <f>IF($A219&gt;TODAY(),"",IFERROR(INDEX(Credit_KPIs_Tbl[Total Number Contracts],MATCH($A219,Credit_KPIs_Tbl[Date - التاريخ],0)),""))</f>
        <v/>
      </c>
      <c r="E219">
        <f>IF($A219&gt;TODAY(),"",IFERROR(INDEX(Credit_KPIs_Tbl[Cancelled],MATCH($A219,Credit_KPIs_Tbl[Date - التاريخ],0)),""))</f>
        <v/>
      </c>
      <c r="F219">
        <f>IF($A219&gt;TODAY(),"",SUMIFS(Collection_Summary_Tbl[Amount - المبلغ],Collection_Summary_Tbl[Item - البند],"الاجمالي",Collection_Summary_Tbl[Date To - الى],$A219))</f>
        <v/>
      </c>
      <c r="G219">
        <f>IF($A219&gt;TODAY(),"",SUMIFS(Sales_Tbl[Count - العدد],Sales_Tbl[Date - التاريخ],$A219))</f>
        <v/>
      </c>
      <c r="H219">
        <f>IF($A219&gt;TODAY(),"",SUMIFS(Sales_Tbl[Count - العدد],Sales_Tbl[Status - الحالة],"Accepted - تم التنفيذ",Sales_Tbl[Date - التاريخ],$A219))</f>
        <v/>
      </c>
      <c r="I219">
        <f>IF($A219&gt;TODAY(),"",SUMIFS(Customer_Care_Tbl[Active - نشط],Customer_Care_Tbl[Date - التاريخ],$A219))</f>
        <v/>
      </c>
      <c r="J219">
        <f>IF($A219&gt;TODAY(),"",SUMIFS(Customer_Care_Tbl[Close - مغلق],Customer_Care_Tbl[Date - التاريخ],$A219))</f>
        <v/>
      </c>
    </row>
    <row r="220">
      <c r="A220">
        <f>A219+1</f>
        <v/>
      </c>
      <c r="B220">
        <f>IF($A220&gt;TODAY(),"",IFERROR(INDEX(Credit_KPIs_Tbl[Total Financing Amount],MATCH($A220,Credit_KPIs_Tbl[Date - التاريخ],0)),""))</f>
        <v/>
      </c>
      <c r="C220">
        <f>IF($A220&gt;TODAY(),"",IFERROR(INDEX(Credit_KPIs_Tbl[Today Financing Amount],MATCH($A220,Credit_KPIs_Tbl[Date - التاريخ],0)),""))</f>
        <v/>
      </c>
      <c r="D220">
        <f>IF($A220&gt;TODAY(),"",IFERROR(INDEX(Credit_KPIs_Tbl[Total Number Contracts],MATCH($A220,Credit_KPIs_Tbl[Date - التاريخ],0)),""))</f>
        <v/>
      </c>
      <c r="E220">
        <f>IF($A220&gt;TODAY(),"",IFERROR(INDEX(Credit_KPIs_Tbl[Cancelled],MATCH($A220,Credit_KPIs_Tbl[Date - التاريخ],0)),""))</f>
        <v/>
      </c>
      <c r="F220">
        <f>IF($A220&gt;TODAY(),"",SUMIFS(Collection_Summary_Tbl[Amount - المبلغ],Collection_Summary_Tbl[Item - البند],"الاجمالي",Collection_Summary_Tbl[Date To - الى],$A220))</f>
        <v/>
      </c>
      <c r="G220">
        <f>IF($A220&gt;TODAY(),"",SUMIFS(Sales_Tbl[Count - العدد],Sales_Tbl[Date - التاريخ],$A220))</f>
        <v/>
      </c>
      <c r="H220">
        <f>IF($A220&gt;TODAY(),"",SUMIFS(Sales_Tbl[Count - العدد],Sales_Tbl[Status - الحالة],"Accepted - تم التنفيذ",Sales_Tbl[Date - التاريخ],$A220))</f>
        <v/>
      </c>
      <c r="I220">
        <f>IF($A220&gt;TODAY(),"",SUMIFS(Customer_Care_Tbl[Active - نشط],Customer_Care_Tbl[Date - التاريخ],$A220))</f>
        <v/>
      </c>
      <c r="J220">
        <f>IF($A220&gt;TODAY(),"",SUMIFS(Customer_Care_Tbl[Close - مغلق],Customer_Care_Tbl[Date - التاريخ],$A220))</f>
        <v/>
      </c>
    </row>
    <row r="221">
      <c r="A221">
        <f>A220+1</f>
        <v/>
      </c>
      <c r="B221">
        <f>IF($A221&gt;TODAY(),"",IFERROR(INDEX(Credit_KPIs_Tbl[Total Financing Amount],MATCH($A221,Credit_KPIs_Tbl[Date - التاريخ],0)),""))</f>
        <v/>
      </c>
      <c r="C221">
        <f>IF($A221&gt;TODAY(),"",IFERROR(INDEX(Credit_KPIs_Tbl[Today Financing Amount],MATCH($A221,Credit_KPIs_Tbl[Date - التاريخ],0)),""))</f>
        <v/>
      </c>
      <c r="D221">
        <f>IF($A221&gt;TODAY(),"",IFERROR(INDEX(Credit_KPIs_Tbl[Total Number Contracts],MATCH($A221,Credit_KPIs_Tbl[Date - التاريخ],0)),""))</f>
        <v/>
      </c>
      <c r="E221">
        <f>IF($A221&gt;TODAY(),"",IFERROR(INDEX(Credit_KPIs_Tbl[Cancelled],MATCH($A221,Credit_KPIs_Tbl[Date - التاريخ],0)),""))</f>
        <v/>
      </c>
      <c r="F221">
        <f>IF($A221&gt;TODAY(),"",SUMIFS(Collection_Summary_Tbl[Amount - المبلغ],Collection_Summary_Tbl[Item - البند],"الاجمالي",Collection_Summary_Tbl[Date To - الى],$A221))</f>
        <v/>
      </c>
      <c r="G221">
        <f>IF($A221&gt;TODAY(),"",SUMIFS(Sales_Tbl[Count - العدد],Sales_Tbl[Date - التاريخ],$A221))</f>
        <v/>
      </c>
      <c r="H221">
        <f>IF($A221&gt;TODAY(),"",SUMIFS(Sales_Tbl[Count - العدد],Sales_Tbl[Status - الحالة],"Accepted - تم التنفيذ",Sales_Tbl[Date - التاريخ],$A221))</f>
        <v/>
      </c>
      <c r="I221">
        <f>IF($A221&gt;TODAY(),"",SUMIFS(Customer_Care_Tbl[Active - نشط],Customer_Care_Tbl[Date - التاريخ],$A221))</f>
        <v/>
      </c>
      <c r="J221">
        <f>IF($A221&gt;TODAY(),"",SUMIFS(Customer_Care_Tbl[Close - مغلق],Customer_Care_Tbl[Date - التاريخ],$A221))</f>
        <v/>
      </c>
    </row>
    <row r="222">
      <c r="A222">
        <f>A221+1</f>
        <v/>
      </c>
      <c r="B222">
        <f>IF($A222&gt;TODAY(),"",IFERROR(INDEX(Credit_KPIs_Tbl[Total Financing Amount],MATCH($A222,Credit_KPIs_Tbl[Date - التاريخ],0)),""))</f>
        <v/>
      </c>
      <c r="C222">
        <f>IF($A222&gt;TODAY(),"",IFERROR(INDEX(Credit_KPIs_Tbl[Today Financing Amount],MATCH($A222,Credit_KPIs_Tbl[Date - التاريخ],0)),""))</f>
        <v/>
      </c>
      <c r="D222">
        <f>IF($A222&gt;TODAY(),"",IFERROR(INDEX(Credit_KPIs_Tbl[Total Number Contracts],MATCH($A222,Credit_KPIs_Tbl[Date - التاريخ],0)),""))</f>
        <v/>
      </c>
      <c r="E222">
        <f>IF($A222&gt;TODAY(),"",IFERROR(INDEX(Credit_KPIs_Tbl[Cancelled],MATCH($A222,Credit_KPIs_Tbl[Date - التاريخ],0)),""))</f>
        <v/>
      </c>
      <c r="F222">
        <f>IF($A222&gt;TODAY(),"",SUMIFS(Collection_Summary_Tbl[Amount - المبلغ],Collection_Summary_Tbl[Item - البند],"الاجمالي",Collection_Summary_Tbl[Date To - الى],$A222))</f>
        <v/>
      </c>
      <c r="G222">
        <f>IF($A222&gt;TODAY(),"",SUMIFS(Sales_Tbl[Count - العدد],Sales_Tbl[Date - التاريخ],$A222))</f>
        <v/>
      </c>
      <c r="H222">
        <f>IF($A222&gt;TODAY(),"",SUMIFS(Sales_Tbl[Count - العدد],Sales_Tbl[Status - الحالة],"Accepted - تم التنفيذ",Sales_Tbl[Date - التاريخ],$A222))</f>
        <v/>
      </c>
      <c r="I222">
        <f>IF($A222&gt;TODAY(),"",SUMIFS(Customer_Care_Tbl[Active - نشط],Customer_Care_Tbl[Date - التاريخ],$A222))</f>
        <v/>
      </c>
      <c r="J222">
        <f>IF($A222&gt;TODAY(),"",SUMIFS(Customer_Care_Tbl[Close - مغلق],Customer_Care_Tbl[Date - التاريخ],$A222))</f>
        <v/>
      </c>
    </row>
    <row r="223">
      <c r="A223">
        <f>A222+1</f>
        <v/>
      </c>
      <c r="B223">
        <f>IF($A223&gt;TODAY(),"",IFERROR(INDEX(Credit_KPIs_Tbl[Total Financing Amount],MATCH($A223,Credit_KPIs_Tbl[Date - التاريخ],0)),""))</f>
        <v/>
      </c>
      <c r="C223">
        <f>IF($A223&gt;TODAY(),"",IFERROR(INDEX(Credit_KPIs_Tbl[Today Financing Amount],MATCH($A223,Credit_KPIs_Tbl[Date - التاريخ],0)),""))</f>
        <v/>
      </c>
      <c r="D223">
        <f>IF($A223&gt;TODAY(),"",IFERROR(INDEX(Credit_KPIs_Tbl[Total Number Contracts],MATCH($A223,Credit_KPIs_Tbl[Date - التاريخ],0)),""))</f>
        <v/>
      </c>
      <c r="E223">
        <f>IF($A223&gt;TODAY(),"",IFERROR(INDEX(Credit_KPIs_Tbl[Cancelled],MATCH($A223,Credit_KPIs_Tbl[Date - التاريخ],0)),""))</f>
        <v/>
      </c>
      <c r="F223">
        <f>IF($A223&gt;TODAY(),"",SUMIFS(Collection_Summary_Tbl[Amount - المبلغ],Collection_Summary_Tbl[Item - البند],"الاجمالي",Collection_Summary_Tbl[Date To - الى],$A223))</f>
        <v/>
      </c>
      <c r="G223">
        <f>IF($A223&gt;TODAY(),"",SUMIFS(Sales_Tbl[Count - العدد],Sales_Tbl[Date - التاريخ],$A223))</f>
        <v/>
      </c>
      <c r="H223">
        <f>IF($A223&gt;TODAY(),"",SUMIFS(Sales_Tbl[Count - العدد],Sales_Tbl[Status - الحالة],"Accepted - تم التنفيذ",Sales_Tbl[Date - التاريخ],$A223))</f>
        <v/>
      </c>
      <c r="I223">
        <f>IF($A223&gt;TODAY(),"",SUMIFS(Customer_Care_Tbl[Active - نشط],Customer_Care_Tbl[Date - التاريخ],$A223))</f>
        <v/>
      </c>
      <c r="J223">
        <f>IF($A223&gt;TODAY(),"",SUMIFS(Customer_Care_Tbl[Close - مغلق],Customer_Care_Tbl[Date - التاريخ],$A223))</f>
        <v/>
      </c>
    </row>
    <row r="224">
      <c r="A224">
        <f>A223+1</f>
        <v/>
      </c>
      <c r="B224">
        <f>IF($A224&gt;TODAY(),"",IFERROR(INDEX(Credit_KPIs_Tbl[Total Financing Amount],MATCH($A224,Credit_KPIs_Tbl[Date - التاريخ],0)),""))</f>
        <v/>
      </c>
      <c r="C224">
        <f>IF($A224&gt;TODAY(),"",IFERROR(INDEX(Credit_KPIs_Tbl[Today Financing Amount],MATCH($A224,Credit_KPIs_Tbl[Date - التاريخ],0)),""))</f>
        <v/>
      </c>
      <c r="D224">
        <f>IF($A224&gt;TODAY(),"",IFERROR(INDEX(Credit_KPIs_Tbl[Total Number Contracts],MATCH($A224,Credit_KPIs_Tbl[Date - التاريخ],0)),""))</f>
        <v/>
      </c>
      <c r="E224">
        <f>IF($A224&gt;TODAY(),"",IFERROR(INDEX(Credit_KPIs_Tbl[Cancelled],MATCH($A224,Credit_KPIs_Tbl[Date - التاريخ],0)),""))</f>
        <v/>
      </c>
      <c r="F224">
        <f>IF($A224&gt;TODAY(),"",SUMIFS(Collection_Summary_Tbl[Amount - المبلغ],Collection_Summary_Tbl[Item - البند],"الاجمالي",Collection_Summary_Tbl[Date To - الى],$A224))</f>
        <v/>
      </c>
      <c r="G224">
        <f>IF($A224&gt;TODAY(),"",SUMIFS(Sales_Tbl[Count - العدد],Sales_Tbl[Date - التاريخ],$A224))</f>
        <v/>
      </c>
      <c r="H224">
        <f>IF($A224&gt;TODAY(),"",SUMIFS(Sales_Tbl[Count - العدد],Sales_Tbl[Status - الحالة],"Accepted - تم التنفيذ",Sales_Tbl[Date - التاريخ],$A224))</f>
        <v/>
      </c>
      <c r="I224">
        <f>IF($A224&gt;TODAY(),"",SUMIFS(Customer_Care_Tbl[Active - نشط],Customer_Care_Tbl[Date - التاريخ],$A224))</f>
        <v/>
      </c>
      <c r="J224">
        <f>IF($A224&gt;TODAY(),"",SUMIFS(Customer_Care_Tbl[Close - مغلق],Customer_Care_Tbl[Date - التاريخ],$A224))</f>
        <v/>
      </c>
    </row>
    <row r="225">
      <c r="A225">
        <f>A224+1</f>
        <v/>
      </c>
      <c r="B225">
        <f>IF($A225&gt;TODAY(),"",IFERROR(INDEX(Credit_KPIs_Tbl[Total Financing Amount],MATCH($A225,Credit_KPIs_Tbl[Date - التاريخ],0)),""))</f>
        <v/>
      </c>
      <c r="C225">
        <f>IF($A225&gt;TODAY(),"",IFERROR(INDEX(Credit_KPIs_Tbl[Today Financing Amount],MATCH($A225,Credit_KPIs_Tbl[Date - التاريخ],0)),""))</f>
        <v/>
      </c>
      <c r="D225">
        <f>IF($A225&gt;TODAY(),"",IFERROR(INDEX(Credit_KPIs_Tbl[Total Number Contracts],MATCH($A225,Credit_KPIs_Tbl[Date - التاريخ],0)),""))</f>
        <v/>
      </c>
      <c r="E225">
        <f>IF($A225&gt;TODAY(),"",IFERROR(INDEX(Credit_KPIs_Tbl[Cancelled],MATCH($A225,Credit_KPIs_Tbl[Date - التاريخ],0)),""))</f>
        <v/>
      </c>
      <c r="F225">
        <f>IF($A225&gt;TODAY(),"",SUMIFS(Collection_Summary_Tbl[Amount - المبلغ],Collection_Summary_Tbl[Item - البند],"الاجمالي",Collection_Summary_Tbl[Date To - الى],$A225))</f>
        <v/>
      </c>
      <c r="G225">
        <f>IF($A225&gt;TODAY(),"",SUMIFS(Sales_Tbl[Count - العدد],Sales_Tbl[Date - التاريخ],$A225))</f>
        <v/>
      </c>
      <c r="H225">
        <f>IF($A225&gt;TODAY(),"",SUMIFS(Sales_Tbl[Count - العدد],Sales_Tbl[Status - الحالة],"Accepted - تم التنفيذ",Sales_Tbl[Date - التاريخ],$A225))</f>
        <v/>
      </c>
      <c r="I225">
        <f>IF($A225&gt;TODAY(),"",SUMIFS(Customer_Care_Tbl[Active - نشط],Customer_Care_Tbl[Date - التاريخ],$A225))</f>
        <v/>
      </c>
      <c r="J225">
        <f>IF($A225&gt;TODAY(),"",SUMIFS(Customer_Care_Tbl[Close - مغلق],Customer_Care_Tbl[Date - التاريخ],$A225))</f>
        <v/>
      </c>
    </row>
    <row r="226">
      <c r="A226">
        <f>A225+1</f>
        <v/>
      </c>
      <c r="B226">
        <f>IF($A226&gt;TODAY(),"",IFERROR(INDEX(Credit_KPIs_Tbl[Total Financing Amount],MATCH($A226,Credit_KPIs_Tbl[Date - التاريخ],0)),""))</f>
        <v/>
      </c>
      <c r="C226">
        <f>IF($A226&gt;TODAY(),"",IFERROR(INDEX(Credit_KPIs_Tbl[Today Financing Amount],MATCH($A226,Credit_KPIs_Tbl[Date - التاريخ],0)),""))</f>
        <v/>
      </c>
      <c r="D226">
        <f>IF($A226&gt;TODAY(),"",IFERROR(INDEX(Credit_KPIs_Tbl[Total Number Contracts],MATCH($A226,Credit_KPIs_Tbl[Date - التاريخ],0)),""))</f>
        <v/>
      </c>
      <c r="E226">
        <f>IF($A226&gt;TODAY(),"",IFERROR(INDEX(Credit_KPIs_Tbl[Cancelled],MATCH($A226,Credit_KPIs_Tbl[Date - التاريخ],0)),""))</f>
        <v/>
      </c>
      <c r="F226">
        <f>IF($A226&gt;TODAY(),"",SUMIFS(Collection_Summary_Tbl[Amount - المبلغ],Collection_Summary_Tbl[Item - البند],"الاجمالي",Collection_Summary_Tbl[Date To - الى],$A226))</f>
        <v/>
      </c>
      <c r="G226">
        <f>IF($A226&gt;TODAY(),"",SUMIFS(Sales_Tbl[Count - العدد],Sales_Tbl[Date - التاريخ],$A226))</f>
        <v/>
      </c>
      <c r="H226">
        <f>IF($A226&gt;TODAY(),"",SUMIFS(Sales_Tbl[Count - العدد],Sales_Tbl[Status - الحالة],"Accepted - تم التنفيذ",Sales_Tbl[Date - التاريخ],$A226))</f>
        <v/>
      </c>
      <c r="I226">
        <f>IF($A226&gt;TODAY(),"",SUMIFS(Customer_Care_Tbl[Active - نشط],Customer_Care_Tbl[Date - التاريخ],$A226))</f>
        <v/>
      </c>
      <c r="J226">
        <f>IF($A226&gt;TODAY(),"",SUMIFS(Customer_Care_Tbl[Close - مغلق],Customer_Care_Tbl[Date - التاريخ],$A226))</f>
        <v/>
      </c>
    </row>
    <row r="227">
      <c r="A227">
        <f>A226+1</f>
        <v/>
      </c>
      <c r="B227">
        <f>IF($A227&gt;TODAY(),"",IFERROR(INDEX(Credit_KPIs_Tbl[Total Financing Amount],MATCH($A227,Credit_KPIs_Tbl[Date - التاريخ],0)),""))</f>
        <v/>
      </c>
      <c r="C227">
        <f>IF($A227&gt;TODAY(),"",IFERROR(INDEX(Credit_KPIs_Tbl[Today Financing Amount],MATCH($A227,Credit_KPIs_Tbl[Date - التاريخ],0)),""))</f>
        <v/>
      </c>
      <c r="D227">
        <f>IF($A227&gt;TODAY(),"",IFERROR(INDEX(Credit_KPIs_Tbl[Total Number Contracts],MATCH($A227,Credit_KPIs_Tbl[Date - التاريخ],0)),""))</f>
        <v/>
      </c>
      <c r="E227">
        <f>IF($A227&gt;TODAY(),"",IFERROR(INDEX(Credit_KPIs_Tbl[Cancelled],MATCH($A227,Credit_KPIs_Tbl[Date - التاريخ],0)),""))</f>
        <v/>
      </c>
      <c r="F227">
        <f>IF($A227&gt;TODAY(),"",SUMIFS(Collection_Summary_Tbl[Amount - المبلغ],Collection_Summary_Tbl[Item - البند],"الاجمالي",Collection_Summary_Tbl[Date To - الى],$A227))</f>
        <v/>
      </c>
      <c r="G227">
        <f>IF($A227&gt;TODAY(),"",SUMIFS(Sales_Tbl[Count - العدد],Sales_Tbl[Date - التاريخ],$A227))</f>
        <v/>
      </c>
      <c r="H227">
        <f>IF($A227&gt;TODAY(),"",SUMIFS(Sales_Tbl[Count - العدد],Sales_Tbl[Status - الحالة],"Accepted - تم التنفيذ",Sales_Tbl[Date - التاريخ],$A227))</f>
        <v/>
      </c>
      <c r="I227">
        <f>IF($A227&gt;TODAY(),"",SUMIFS(Customer_Care_Tbl[Active - نشط],Customer_Care_Tbl[Date - التاريخ],$A227))</f>
        <v/>
      </c>
      <c r="J227">
        <f>IF($A227&gt;TODAY(),"",SUMIFS(Customer_Care_Tbl[Close - مغلق],Customer_Care_Tbl[Date - التاريخ],$A227))</f>
        <v/>
      </c>
    </row>
    <row r="228">
      <c r="A228">
        <f>A227+1</f>
        <v/>
      </c>
      <c r="B228">
        <f>IF($A228&gt;TODAY(),"",IFERROR(INDEX(Credit_KPIs_Tbl[Total Financing Amount],MATCH($A228,Credit_KPIs_Tbl[Date - التاريخ],0)),""))</f>
        <v/>
      </c>
      <c r="C228">
        <f>IF($A228&gt;TODAY(),"",IFERROR(INDEX(Credit_KPIs_Tbl[Today Financing Amount],MATCH($A228,Credit_KPIs_Tbl[Date - التاريخ],0)),""))</f>
        <v/>
      </c>
      <c r="D228">
        <f>IF($A228&gt;TODAY(),"",IFERROR(INDEX(Credit_KPIs_Tbl[Total Number Contracts],MATCH($A228,Credit_KPIs_Tbl[Date - التاريخ],0)),""))</f>
        <v/>
      </c>
      <c r="E228">
        <f>IF($A228&gt;TODAY(),"",IFERROR(INDEX(Credit_KPIs_Tbl[Cancelled],MATCH($A228,Credit_KPIs_Tbl[Date - التاريخ],0)),""))</f>
        <v/>
      </c>
      <c r="F228">
        <f>IF($A228&gt;TODAY(),"",SUMIFS(Collection_Summary_Tbl[Amount - المبلغ],Collection_Summary_Tbl[Item - البند],"الاجمالي",Collection_Summary_Tbl[Date To - الى],$A228))</f>
        <v/>
      </c>
      <c r="G228">
        <f>IF($A228&gt;TODAY(),"",SUMIFS(Sales_Tbl[Count - العدد],Sales_Tbl[Date - التاريخ],$A228))</f>
        <v/>
      </c>
      <c r="H228">
        <f>IF($A228&gt;TODAY(),"",SUMIFS(Sales_Tbl[Count - العدد],Sales_Tbl[Status - الحالة],"Accepted - تم التنفيذ",Sales_Tbl[Date - التاريخ],$A228))</f>
        <v/>
      </c>
      <c r="I228">
        <f>IF($A228&gt;TODAY(),"",SUMIFS(Customer_Care_Tbl[Active - نشط],Customer_Care_Tbl[Date - التاريخ],$A228))</f>
        <v/>
      </c>
      <c r="J228">
        <f>IF($A228&gt;TODAY(),"",SUMIFS(Customer_Care_Tbl[Close - مغلق],Customer_Care_Tbl[Date - التاريخ],$A228))</f>
        <v/>
      </c>
    </row>
    <row r="229">
      <c r="A229">
        <f>A228+1</f>
        <v/>
      </c>
      <c r="B229">
        <f>IF($A229&gt;TODAY(),"",IFERROR(INDEX(Credit_KPIs_Tbl[Total Financing Amount],MATCH($A229,Credit_KPIs_Tbl[Date - التاريخ],0)),""))</f>
        <v/>
      </c>
      <c r="C229">
        <f>IF($A229&gt;TODAY(),"",IFERROR(INDEX(Credit_KPIs_Tbl[Today Financing Amount],MATCH($A229,Credit_KPIs_Tbl[Date - التاريخ],0)),""))</f>
        <v/>
      </c>
      <c r="D229">
        <f>IF($A229&gt;TODAY(),"",IFERROR(INDEX(Credit_KPIs_Tbl[Total Number Contracts],MATCH($A229,Credit_KPIs_Tbl[Date - التاريخ],0)),""))</f>
        <v/>
      </c>
      <c r="E229">
        <f>IF($A229&gt;TODAY(),"",IFERROR(INDEX(Credit_KPIs_Tbl[Cancelled],MATCH($A229,Credit_KPIs_Tbl[Date - التاريخ],0)),""))</f>
        <v/>
      </c>
      <c r="F229">
        <f>IF($A229&gt;TODAY(),"",SUMIFS(Collection_Summary_Tbl[Amount - المبلغ],Collection_Summary_Tbl[Item - البند],"الاجمالي",Collection_Summary_Tbl[Date To - الى],$A229))</f>
        <v/>
      </c>
      <c r="G229">
        <f>IF($A229&gt;TODAY(),"",SUMIFS(Sales_Tbl[Count - العدد],Sales_Tbl[Date - التاريخ],$A229))</f>
        <v/>
      </c>
      <c r="H229">
        <f>IF($A229&gt;TODAY(),"",SUMIFS(Sales_Tbl[Count - العدد],Sales_Tbl[Status - الحالة],"Accepted - تم التنفيذ",Sales_Tbl[Date - التاريخ],$A229))</f>
        <v/>
      </c>
      <c r="I229">
        <f>IF($A229&gt;TODAY(),"",SUMIFS(Customer_Care_Tbl[Active - نشط],Customer_Care_Tbl[Date - التاريخ],$A229))</f>
        <v/>
      </c>
      <c r="J229">
        <f>IF($A229&gt;TODAY(),"",SUMIFS(Customer_Care_Tbl[Close - مغلق],Customer_Care_Tbl[Date - التاريخ],$A229))</f>
        <v/>
      </c>
    </row>
    <row r="230">
      <c r="A230">
        <f>A229+1</f>
        <v/>
      </c>
      <c r="B230">
        <f>IF($A230&gt;TODAY(),"",IFERROR(INDEX(Credit_KPIs_Tbl[Total Financing Amount],MATCH($A230,Credit_KPIs_Tbl[Date - التاريخ],0)),""))</f>
        <v/>
      </c>
      <c r="C230">
        <f>IF($A230&gt;TODAY(),"",IFERROR(INDEX(Credit_KPIs_Tbl[Today Financing Amount],MATCH($A230,Credit_KPIs_Tbl[Date - التاريخ],0)),""))</f>
        <v/>
      </c>
      <c r="D230">
        <f>IF($A230&gt;TODAY(),"",IFERROR(INDEX(Credit_KPIs_Tbl[Total Number Contracts],MATCH($A230,Credit_KPIs_Tbl[Date - التاريخ],0)),""))</f>
        <v/>
      </c>
      <c r="E230">
        <f>IF($A230&gt;TODAY(),"",IFERROR(INDEX(Credit_KPIs_Tbl[Cancelled],MATCH($A230,Credit_KPIs_Tbl[Date - التاريخ],0)),""))</f>
        <v/>
      </c>
      <c r="F230">
        <f>IF($A230&gt;TODAY(),"",SUMIFS(Collection_Summary_Tbl[Amount - المبلغ],Collection_Summary_Tbl[Item - البند],"الاجمالي",Collection_Summary_Tbl[Date To - الى],$A230))</f>
        <v/>
      </c>
      <c r="G230">
        <f>IF($A230&gt;TODAY(),"",SUMIFS(Sales_Tbl[Count - العدد],Sales_Tbl[Date - التاريخ],$A230))</f>
        <v/>
      </c>
      <c r="H230">
        <f>IF($A230&gt;TODAY(),"",SUMIFS(Sales_Tbl[Count - العدد],Sales_Tbl[Status - الحالة],"Accepted - تم التنفيذ",Sales_Tbl[Date - التاريخ],$A230))</f>
        <v/>
      </c>
      <c r="I230">
        <f>IF($A230&gt;TODAY(),"",SUMIFS(Customer_Care_Tbl[Active - نشط],Customer_Care_Tbl[Date - التاريخ],$A230))</f>
        <v/>
      </c>
      <c r="J230">
        <f>IF($A230&gt;TODAY(),"",SUMIFS(Customer_Care_Tbl[Close - مغلق],Customer_Care_Tbl[Date - التاريخ],$A230))</f>
        <v/>
      </c>
    </row>
    <row r="231">
      <c r="A231">
        <f>A230+1</f>
        <v/>
      </c>
      <c r="B231">
        <f>IF($A231&gt;TODAY(),"",IFERROR(INDEX(Credit_KPIs_Tbl[Total Financing Amount],MATCH($A231,Credit_KPIs_Tbl[Date - التاريخ],0)),""))</f>
        <v/>
      </c>
      <c r="C231">
        <f>IF($A231&gt;TODAY(),"",IFERROR(INDEX(Credit_KPIs_Tbl[Today Financing Amount],MATCH($A231,Credit_KPIs_Tbl[Date - التاريخ],0)),""))</f>
        <v/>
      </c>
      <c r="D231">
        <f>IF($A231&gt;TODAY(),"",IFERROR(INDEX(Credit_KPIs_Tbl[Total Number Contracts],MATCH($A231,Credit_KPIs_Tbl[Date - التاريخ],0)),""))</f>
        <v/>
      </c>
      <c r="E231">
        <f>IF($A231&gt;TODAY(),"",IFERROR(INDEX(Credit_KPIs_Tbl[Cancelled],MATCH($A231,Credit_KPIs_Tbl[Date - التاريخ],0)),""))</f>
        <v/>
      </c>
      <c r="F231">
        <f>IF($A231&gt;TODAY(),"",SUMIFS(Collection_Summary_Tbl[Amount - المبلغ],Collection_Summary_Tbl[Item - البند],"الاجمالي",Collection_Summary_Tbl[Date To - الى],$A231))</f>
        <v/>
      </c>
      <c r="G231">
        <f>IF($A231&gt;TODAY(),"",SUMIFS(Sales_Tbl[Count - العدد],Sales_Tbl[Date - التاريخ],$A231))</f>
        <v/>
      </c>
      <c r="H231">
        <f>IF($A231&gt;TODAY(),"",SUMIFS(Sales_Tbl[Count - العدد],Sales_Tbl[Status - الحالة],"Accepted - تم التنفيذ",Sales_Tbl[Date - التاريخ],$A231))</f>
        <v/>
      </c>
      <c r="I231">
        <f>IF($A231&gt;TODAY(),"",SUMIFS(Customer_Care_Tbl[Active - نشط],Customer_Care_Tbl[Date - التاريخ],$A231))</f>
        <v/>
      </c>
      <c r="J231">
        <f>IF($A231&gt;TODAY(),"",SUMIFS(Customer_Care_Tbl[Close - مغلق],Customer_Care_Tbl[Date - التاريخ],$A231))</f>
        <v/>
      </c>
    </row>
    <row r="232">
      <c r="A232">
        <f>A231+1</f>
        <v/>
      </c>
      <c r="B232">
        <f>IF($A232&gt;TODAY(),"",IFERROR(INDEX(Credit_KPIs_Tbl[Total Financing Amount],MATCH($A232,Credit_KPIs_Tbl[Date - التاريخ],0)),""))</f>
        <v/>
      </c>
      <c r="C232">
        <f>IF($A232&gt;TODAY(),"",IFERROR(INDEX(Credit_KPIs_Tbl[Today Financing Amount],MATCH($A232,Credit_KPIs_Tbl[Date - التاريخ],0)),""))</f>
        <v/>
      </c>
      <c r="D232">
        <f>IF($A232&gt;TODAY(),"",IFERROR(INDEX(Credit_KPIs_Tbl[Total Number Contracts],MATCH($A232,Credit_KPIs_Tbl[Date - التاريخ],0)),""))</f>
        <v/>
      </c>
      <c r="E232">
        <f>IF($A232&gt;TODAY(),"",IFERROR(INDEX(Credit_KPIs_Tbl[Cancelled],MATCH($A232,Credit_KPIs_Tbl[Date - التاريخ],0)),""))</f>
        <v/>
      </c>
      <c r="F232">
        <f>IF($A232&gt;TODAY(),"",SUMIFS(Collection_Summary_Tbl[Amount - المبلغ],Collection_Summary_Tbl[Item - البند],"الاجمالي",Collection_Summary_Tbl[Date To - الى],$A232))</f>
        <v/>
      </c>
      <c r="G232">
        <f>IF($A232&gt;TODAY(),"",SUMIFS(Sales_Tbl[Count - العدد],Sales_Tbl[Date - التاريخ],$A232))</f>
        <v/>
      </c>
      <c r="H232">
        <f>IF($A232&gt;TODAY(),"",SUMIFS(Sales_Tbl[Count - العدد],Sales_Tbl[Status - الحالة],"Accepted - تم التنفيذ",Sales_Tbl[Date - التاريخ],$A232))</f>
        <v/>
      </c>
      <c r="I232">
        <f>IF($A232&gt;TODAY(),"",SUMIFS(Customer_Care_Tbl[Active - نشط],Customer_Care_Tbl[Date - التاريخ],$A232))</f>
        <v/>
      </c>
      <c r="J232">
        <f>IF($A232&gt;TODAY(),"",SUMIFS(Customer_Care_Tbl[Close - مغلق],Customer_Care_Tbl[Date - التاريخ],$A232))</f>
        <v/>
      </c>
    </row>
    <row r="233">
      <c r="A233">
        <f>A232+1</f>
        <v/>
      </c>
      <c r="B233">
        <f>IF($A233&gt;TODAY(),"",IFERROR(INDEX(Credit_KPIs_Tbl[Total Financing Amount],MATCH($A233,Credit_KPIs_Tbl[Date - التاريخ],0)),""))</f>
        <v/>
      </c>
      <c r="C233">
        <f>IF($A233&gt;TODAY(),"",IFERROR(INDEX(Credit_KPIs_Tbl[Today Financing Amount],MATCH($A233,Credit_KPIs_Tbl[Date - التاريخ],0)),""))</f>
        <v/>
      </c>
      <c r="D233">
        <f>IF($A233&gt;TODAY(),"",IFERROR(INDEX(Credit_KPIs_Tbl[Total Number Contracts],MATCH($A233,Credit_KPIs_Tbl[Date - التاريخ],0)),""))</f>
        <v/>
      </c>
      <c r="E233">
        <f>IF($A233&gt;TODAY(),"",IFERROR(INDEX(Credit_KPIs_Tbl[Cancelled],MATCH($A233,Credit_KPIs_Tbl[Date - التاريخ],0)),""))</f>
        <v/>
      </c>
      <c r="F233">
        <f>IF($A233&gt;TODAY(),"",SUMIFS(Collection_Summary_Tbl[Amount - المبلغ],Collection_Summary_Tbl[Item - البند],"الاجمالي",Collection_Summary_Tbl[Date To - الى],$A233))</f>
        <v/>
      </c>
      <c r="G233">
        <f>IF($A233&gt;TODAY(),"",SUMIFS(Sales_Tbl[Count - العدد],Sales_Tbl[Date - التاريخ],$A233))</f>
        <v/>
      </c>
      <c r="H233">
        <f>IF($A233&gt;TODAY(),"",SUMIFS(Sales_Tbl[Count - العدد],Sales_Tbl[Status - الحالة],"Accepted - تم التنفيذ",Sales_Tbl[Date - التاريخ],$A233))</f>
        <v/>
      </c>
      <c r="I233">
        <f>IF($A233&gt;TODAY(),"",SUMIFS(Customer_Care_Tbl[Active - نشط],Customer_Care_Tbl[Date - التاريخ],$A233))</f>
        <v/>
      </c>
      <c r="J233">
        <f>IF($A233&gt;TODAY(),"",SUMIFS(Customer_Care_Tbl[Close - مغلق],Customer_Care_Tbl[Date - التاريخ],$A233))</f>
        <v/>
      </c>
    </row>
    <row r="234">
      <c r="A234">
        <f>A233+1</f>
        <v/>
      </c>
      <c r="B234">
        <f>IF($A234&gt;TODAY(),"",IFERROR(INDEX(Credit_KPIs_Tbl[Total Financing Amount],MATCH($A234,Credit_KPIs_Tbl[Date - التاريخ],0)),""))</f>
        <v/>
      </c>
      <c r="C234">
        <f>IF($A234&gt;TODAY(),"",IFERROR(INDEX(Credit_KPIs_Tbl[Today Financing Amount],MATCH($A234,Credit_KPIs_Tbl[Date - التاريخ],0)),""))</f>
        <v/>
      </c>
      <c r="D234">
        <f>IF($A234&gt;TODAY(),"",IFERROR(INDEX(Credit_KPIs_Tbl[Total Number Contracts],MATCH($A234,Credit_KPIs_Tbl[Date - التاريخ],0)),""))</f>
        <v/>
      </c>
      <c r="E234">
        <f>IF($A234&gt;TODAY(),"",IFERROR(INDEX(Credit_KPIs_Tbl[Cancelled],MATCH($A234,Credit_KPIs_Tbl[Date - التاريخ],0)),""))</f>
        <v/>
      </c>
      <c r="F234">
        <f>IF($A234&gt;TODAY(),"",SUMIFS(Collection_Summary_Tbl[Amount - المبلغ],Collection_Summary_Tbl[Item - البند],"الاجمالي",Collection_Summary_Tbl[Date To - الى],$A234))</f>
        <v/>
      </c>
      <c r="G234">
        <f>IF($A234&gt;TODAY(),"",SUMIFS(Sales_Tbl[Count - العدد],Sales_Tbl[Date - التاريخ],$A234))</f>
        <v/>
      </c>
      <c r="H234">
        <f>IF($A234&gt;TODAY(),"",SUMIFS(Sales_Tbl[Count - العدد],Sales_Tbl[Status - الحالة],"Accepted - تم التنفيذ",Sales_Tbl[Date - التاريخ],$A234))</f>
        <v/>
      </c>
      <c r="I234">
        <f>IF($A234&gt;TODAY(),"",SUMIFS(Customer_Care_Tbl[Active - نشط],Customer_Care_Tbl[Date - التاريخ],$A234))</f>
        <v/>
      </c>
      <c r="J234">
        <f>IF($A234&gt;TODAY(),"",SUMIFS(Customer_Care_Tbl[Close - مغلق],Customer_Care_Tbl[Date - التاريخ],$A234))</f>
        <v/>
      </c>
    </row>
    <row r="235">
      <c r="A235">
        <f>A234+1</f>
        <v/>
      </c>
      <c r="B235">
        <f>IF($A235&gt;TODAY(),"",IFERROR(INDEX(Credit_KPIs_Tbl[Total Financing Amount],MATCH($A235,Credit_KPIs_Tbl[Date - التاريخ],0)),""))</f>
        <v/>
      </c>
      <c r="C235">
        <f>IF($A235&gt;TODAY(),"",IFERROR(INDEX(Credit_KPIs_Tbl[Today Financing Amount],MATCH($A235,Credit_KPIs_Tbl[Date - التاريخ],0)),""))</f>
        <v/>
      </c>
      <c r="D235">
        <f>IF($A235&gt;TODAY(),"",IFERROR(INDEX(Credit_KPIs_Tbl[Total Number Contracts],MATCH($A235,Credit_KPIs_Tbl[Date - التاريخ],0)),""))</f>
        <v/>
      </c>
      <c r="E235">
        <f>IF($A235&gt;TODAY(),"",IFERROR(INDEX(Credit_KPIs_Tbl[Cancelled],MATCH($A235,Credit_KPIs_Tbl[Date - التاريخ],0)),""))</f>
        <v/>
      </c>
      <c r="F235">
        <f>IF($A235&gt;TODAY(),"",SUMIFS(Collection_Summary_Tbl[Amount - المبلغ],Collection_Summary_Tbl[Item - البند],"الاجمالي",Collection_Summary_Tbl[Date To - الى],$A235))</f>
        <v/>
      </c>
      <c r="G235">
        <f>IF($A235&gt;TODAY(),"",SUMIFS(Sales_Tbl[Count - العدد],Sales_Tbl[Date - التاريخ],$A235))</f>
        <v/>
      </c>
      <c r="H235">
        <f>IF($A235&gt;TODAY(),"",SUMIFS(Sales_Tbl[Count - العدد],Sales_Tbl[Status - الحالة],"Accepted - تم التنفيذ",Sales_Tbl[Date - التاريخ],$A235))</f>
        <v/>
      </c>
      <c r="I235">
        <f>IF($A235&gt;TODAY(),"",SUMIFS(Customer_Care_Tbl[Active - نشط],Customer_Care_Tbl[Date - التاريخ],$A235))</f>
        <v/>
      </c>
      <c r="J235">
        <f>IF($A235&gt;TODAY(),"",SUMIFS(Customer_Care_Tbl[Close - مغلق],Customer_Care_Tbl[Date - التاريخ],$A235))</f>
        <v/>
      </c>
    </row>
    <row r="236">
      <c r="A236">
        <f>A235+1</f>
        <v/>
      </c>
      <c r="B236">
        <f>IF($A236&gt;TODAY(),"",IFERROR(INDEX(Credit_KPIs_Tbl[Total Financing Amount],MATCH($A236,Credit_KPIs_Tbl[Date - التاريخ],0)),""))</f>
        <v/>
      </c>
      <c r="C236">
        <f>IF($A236&gt;TODAY(),"",IFERROR(INDEX(Credit_KPIs_Tbl[Today Financing Amount],MATCH($A236,Credit_KPIs_Tbl[Date - التاريخ],0)),""))</f>
        <v/>
      </c>
      <c r="D236">
        <f>IF($A236&gt;TODAY(),"",IFERROR(INDEX(Credit_KPIs_Tbl[Total Number Contracts],MATCH($A236,Credit_KPIs_Tbl[Date - التاريخ],0)),""))</f>
        <v/>
      </c>
      <c r="E236">
        <f>IF($A236&gt;TODAY(),"",IFERROR(INDEX(Credit_KPIs_Tbl[Cancelled],MATCH($A236,Credit_KPIs_Tbl[Date - التاريخ],0)),""))</f>
        <v/>
      </c>
      <c r="F236">
        <f>IF($A236&gt;TODAY(),"",SUMIFS(Collection_Summary_Tbl[Amount - المبلغ],Collection_Summary_Tbl[Item - البند],"الاجمالي",Collection_Summary_Tbl[Date To - الى],$A236))</f>
        <v/>
      </c>
      <c r="G236">
        <f>IF($A236&gt;TODAY(),"",SUMIFS(Sales_Tbl[Count - العدد],Sales_Tbl[Date - التاريخ],$A236))</f>
        <v/>
      </c>
      <c r="H236">
        <f>IF($A236&gt;TODAY(),"",SUMIFS(Sales_Tbl[Count - العدد],Sales_Tbl[Status - الحالة],"Accepted - تم التنفيذ",Sales_Tbl[Date - التاريخ],$A236))</f>
        <v/>
      </c>
      <c r="I236">
        <f>IF($A236&gt;TODAY(),"",SUMIFS(Customer_Care_Tbl[Active - نشط],Customer_Care_Tbl[Date - التاريخ],$A236))</f>
        <v/>
      </c>
      <c r="J236">
        <f>IF($A236&gt;TODAY(),"",SUMIFS(Customer_Care_Tbl[Close - مغلق],Customer_Care_Tbl[Date - التاريخ],$A236))</f>
        <v/>
      </c>
    </row>
    <row r="237">
      <c r="A237">
        <f>A236+1</f>
        <v/>
      </c>
      <c r="B237">
        <f>IF($A237&gt;TODAY(),"",IFERROR(INDEX(Credit_KPIs_Tbl[Total Financing Amount],MATCH($A237,Credit_KPIs_Tbl[Date - التاريخ],0)),""))</f>
        <v/>
      </c>
      <c r="C237">
        <f>IF($A237&gt;TODAY(),"",IFERROR(INDEX(Credit_KPIs_Tbl[Today Financing Amount],MATCH($A237,Credit_KPIs_Tbl[Date - التاريخ],0)),""))</f>
        <v/>
      </c>
      <c r="D237">
        <f>IF($A237&gt;TODAY(),"",IFERROR(INDEX(Credit_KPIs_Tbl[Total Number Contracts],MATCH($A237,Credit_KPIs_Tbl[Date - التاريخ],0)),""))</f>
        <v/>
      </c>
      <c r="E237">
        <f>IF($A237&gt;TODAY(),"",IFERROR(INDEX(Credit_KPIs_Tbl[Cancelled],MATCH($A237,Credit_KPIs_Tbl[Date - التاريخ],0)),""))</f>
        <v/>
      </c>
      <c r="F237">
        <f>IF($A237&gt;TODAY(),"",SUMIFS(Collection_Summary_Tbl[Amount - المبلغ],Collection_Summary_Tbl[Item - البند],"الاجمالي",Collection_Summary_Tbl[Date To - الى],$A237))</f>
        <v/>
      </c>
      <c r="G237">
        <f>IF($A237&gt;TODAY(),"",SUMIFS(Sales_Tbl[Count - العدد],Sales_Tbl[Date - التاريخ],$A237))</f>
        <v/>
      </c>
      <c r="H237">
        <f>IF($A237&gt;TODAY(),"",SUMIFS(Sales_Tbl[Count - العدد],Sales_Tbl[Status - الحالة],"Accepted - تم التنفيذ",Sales_Tbl[Date - التاريخ],$A237))</f>
        <v/>
      </c>
      <c r="I237">
        <f>IF($A237&gt;TODAY(),"",SUMIFS(Customer_Care_Tbl[Active - نشط],Customer_Care_Tbl[Date - التاريخ],$A237))</f>
        <v/>
      </c>
      <c r="J237">
        <f>IF($A237&gt;TODAY(),"",SUMIFS(Customer_Care_Tbl[Close - مغلق],Customer_Care_Tbl[Date - التاريخ],$A237))</f>
        <v/>
      </c>
    </row>
    <row r="238">
      <c r="A238">
        <f>A237+1</f>
        <v/>
      </c>
      <c r="B238">
        <f>IF($A238&gt;TODAY(),"",IFERROR(INDEX(Credit_KPIs_Tbl[Total Financing Amount],MATCH($A238,Credit_KPIs_Tbl[Date - التاريخ],0)),""))</f>
        <v/>
      </c>
      <c r="C238">
        <f>IF($A238&gt;TODAY(),"",IFERROR(INDEX(Credit_KPIs_Tbl[Today Financing Amount],MATCH($A238,Credit_KPIs_Tbl[Date - التاريخ],0)),""))</f>
        <v/>
      </c>
      <c r="D238">
        <f>IF($A238&gt;TODAY(),"",IFERROR(INDEX(Credit_KPIs_Tbl[Total Number Contracts],MATCH($A238,Credit_KPIs_Tbl[Date - التاريخ],0)),""))</f>
        <v/>
      </c>
      <c r="E238">
        <f>IF($A238&gt;TODAY(),"",IFERROR(INDEX(Credit_KPIs_Tbl[Cancelled],MATCH($A238,Credit_KPIs_Tbl[Date - التاريخ],0)),""))</f>
        <v/>
      </c>
      <c r="F238">
        <f>IF($A238&gt;TODAY(),"",SUMIFS(Collection_Summary_Tbl[Amount - المبلغ],Collection_Summary_Tbl[Item - البند],"الاجمالي",Collection_Summary_Tbl[Date To - الى],$A238))</f>
        <v/>
      </c>
      <c r="G238">
        <f>IF($A238&gt;TODAY(),"",SUMIFS(Sales_Tbl[Count - العدد],Sales_Tbl[Date - التاريخ],$A238))</f>
        <v/>
      </c>
      <c r="H238">
        <f>IF($A238&gt;TODAY(),"",SUMIFS(Sales_Tbl[Count - العدد],Sales_Tbl[Status - الحالة],"Accepted - تم التنفيذ",Sales_Tbl[Date - التاريخ],$A238))</f>
        <v/>
      </c>
      <c r="I238">
        <f>IF($A238&gt;TODAY(),"",SUMIFS(Customer_Care_Tbl[Active - نشط],Customer_Care_Tbl[Date - التاريخ],$A238))</f>
        <v/>
      </c>
      <c r="J238">
        <f>IF($A238&gt;TODAY(),"",SUMIFS(Customer_Care_Tbl[Close - مغلق],Customer_Care_Tbl[Date - التاريخ],$A238))</f>
        <v/>
      </c>
    </row>
    <row r="239">
      <c r="A239">
        <f>A238+1</f>
        <v/>
      </c>
      <c r="B239">
        <f>IF($A239&gt;TODAY(),"",IFERROR(INDEX(Credit_KPIs_Tbl[Total Financing Amount],MATCH($A239,Credit_KPIs_Tbl[Date - التاريخ],0)),""))</f>
        <v/>
      </c>
      <c r="C239">
        <f>IF($A239&gt;TODAY(),"",IFERROR(INDEX(Credit_KPIs_Tbl[Today Financing Amount],MATCH($A239,Credit_KPIs_Tbl[Date - التاريخ],0)),""))</f>
        <v/>
      </c>
      <c r="D239">
        <f>IF($A239&gt;TODAY(),"",IFERROR(INDEX(Credit_KPIs_Tbl[Total Number Contracts],MATCH($A239,Credit_KPIs_Tbl[Date - التاريخ],0)),""))</f>
        <v/>
      </c>
      <c r="E239">
        <f>IF($A239&gt;TODAY(),"",IFERROR(INDEX(Credit_KPIs_Tbl[Cancelled],MATCH($A239,Credit_KPIs_Tbl[Date - التاريخ],0)),""))</f>
        <v/>
      </c>
      <c r="F239">
        <f>IF($A239&gt;TODAY(),"",SUMIFS(Collection_Summary_Tbl[Amount - المبلغ],Collection_Summary_Tbl[Item - البند],"الاجمالي",Collection_Summary_Tbl[Date To - الى],$A239))</f>
        <v/>
      </c>
      <c r="G239">
        <f>IF($A239&gt;TODAY(),"",SUMIFS(Sales_Tbl[Count - العدد],Sales_Tbl[Date - التاريخ],$A239))</f>
        <v/>
      </c>
      <c r="H239">
        <f>IF($A239&gt;TODAY(),"",SUMIFS(Sales_Tbl[Count - العدد],Sales_Tbl[Status - الحالة],"Accepted - تم التنفيذ",Sales_Tbl[Date - التاريخ],$A239))</f>
        <v/>
      </c>
      <c r="I239">
        <f>IF($A239&gt;TODAY(),"",SUMIFS(Customer_Care_Tbl[Active - نشط],Customer_Care_Tbl[Date - التاريخ],$A239))</f>
        <v/>
      </c>
      <c r="J239">
        <f>IF($A239&gt;TODAY(),"",SUMIFS(Customer_Care_Tbl[Close - مغلق],Customer_Care_Tbl[Date - التاريخ],$A239))</f>
        <v/>
      </c>
    </row>
    <row r="240">
      <c r="A240">
        <f>A239+1</f>
        <v/>
      </c>
      <c r="B240">
        <f>IF($A240&gt;TODAY(),"",IFERROR(INDEX(Credit_KPIs_Tbl[Total Financing Amount],MATCH($A240,Credit_KPIs_Tbl[Date - التاريخ],0)),""))</f>
        <v/>
      </c>
      <c r="C240">
        <f>IF($A240&gt;TODAY(),"",IFERROR(INDEX(Credit_KPIs_Tbl[Today Financing Amount],MATCH($A240,Credit_KPIs_Tbl[Date - التاريخ],0)),""))</f>
        <v/>
      </c>
      <c r="D240">
        <f>IF($A240&gt;TODAY(),"",IFERROR(INDEX(Credit_KPIs_Tbl[Total Number Contracts],MATCH($A240,Credit_KPIs_Tbl[Date - التاريخ],0)),""))</f>
        <v/>
      </c>
      <c r="E240">
        <f>IF($A240&gt;TODAY(),"",IFERROR(INDEX(Credit_KPIs_Tbl[Cancelled],MATCH($A240,Credit_KPIs_Tbl[Date - التاريخ],0)),""))</f>
        <v/>
      </c>
      <c r="F240">
        <f>IF($A240&gt;TODAY(),"",SUMIFS(Collection_Summary_Tbl[Amount - المبلغ],Collection_Summary_Tbl[Item - البند],"الاجمالي",Collection_Summary_Tbl[Date To - الى],$A240))</f>
        <v/>
      </c>
      <c r="G240">
        <f>IF($A240&gt;TODAY(),"",SUMIFS(Sales_Tbl[Count - العدد],Sales_Tbl[Date - التاريخ],$A240))</f>
        <v/>
      </c>
      <c r="H240">
        <f>IF($A240&gt;TODAY(),"",SUMIFS(Sales_Tbl[Count - العدد],Sales_Tbl[Status - الحالة],"Accepted - تم التنفيذ",Sales_Tbl[Date - التاريخ],$A240))</f>
        <v/>
      </c>
      <c r="I240">
        <f>IF($A240&gt;TODAY(),"",SUMIFS(Customer_Care_Tbl[Active - نشط],Customer_Care_Tbl[Date - التاريخ],$A240))</f>
        <v/>
      </c>
      <c r="J240">
        <f>IF($A240&gt;TODAY(),"",SUMIFS(Customer_Care_Tbl[Close - مغلق],Customer_Care_Tbl[Date - التاريخ],$A240))</f>
        <v/>
      </c>
    </row>
    <row r="241">
      <c r="A241">
        <f>A240+1</f>
        <v/>
      </c>
      <c r="B241">
        <f>IF($A241&gt;TODAY(),"",IFERROR(INDEX(Credit_KPIs_Tbl[Total Financing Amount],MATCH($A241,Credit_KPIs_Tbl[Date - التاريخ],0)),""))</f>
        <v/>
      </c>
      <c r="C241">
        <f>IF($A241&gt;TODAY(),"",IFERROR(INDEX(Credit_KPIs_Tbl[Today Financing Amount],MATCH($A241,Credit_KPIs_Tbl[Date - التاريخ],0)),""))</f>
        <v/>
      </c>
      <c r="D241">
        <f>IF($A241&gt;TODAY(),"",IFERROR(INDEX(Credit_KPIs_Tbl[Total Number Contracts],MATCH($A241,Credit_KPIs_Tbl[Date - التاريخ],0)),""))</f>
        <v/>
      </c>
      <c r="E241">
        <f>IF($A241&gt;TODAY(),"",IFERROR(INDEX(Credit_KPIs_Tbl[Cancelled],MATCH($A241,Credit_KPIs_Tbl[Date - التاريخ],0)),""))</f>
        <v/>
      </c>
      <c r="F241">
        <f>IF($A241&gt;TODAY(),"",SUMIFS(Collection_Summary_Tbl[Amount - المبلغ],Collection_Summary_Tbl[Item - البند],"الاجمالي",Collection_Summary_Tbl[Date To - الى],$A241))</f>
        <v/>
      </c>
      <c r="G241">
        <f>IF($A241&gt;TODAY(),"",SUMIFS(Sales_Tbl[Count - العدد],Sales_Tbl[Date - التاريخ],$A241))</f>
        <v/>
      </c>
      <c r="H241">
        <f>IF($A241&gt;TODAY(),"",SUMIFS(Sales_Tbl[Count - العدد],Sales_Tbl[Status - الحالة],"Accepted - تم التنفيذ",Sales_Tbl[Date - التاريخ],$A241))</f>
        <v/>
      </c>
      <c r="I241">
        <f>IF($A241&gt;TODAY(),"",SUMIFS(Customer_Care_Tbl[Active - نشط],Customer_Care_Tbl[Date - التاريخ],$A241))</f>
        <v/>
      </c>
      <c r="J241">
        <f>IF($A241&gt;TODAY(),"",SUMIFS(Customer_Care_Tbl[Close - مغلق],Customer_Care_Tbl[Date - التاريخ],$A241))</f>
        <v/>
      </c>
    </row>
    <row r="242">
      <c r="A242">
        <f>A241+1</f>
        <v/>
      </c>
      <c r="B242">
        <f>IF($A242&gt;TODAY(),"",IFERROR(INDEX(Credit_KPIs_Tbl[Total Financing Amount],MATCH($A242,Credit_KPIs_Tbl[Date - التاريخ],0)),""))</f>
        <v/>
      </c>
      <c r="C242">
        <f>IF($A242&gt;TODAY(),"",IFERROR(INDEX(Credit_KPIs_Tbl[Today Financing Amount],MATCH($A242,Credit_KPIs_Tbl[Date - التاريخ],0)),""))</f>
        <v/>
      </c>
      <c r="D242">
        <f>IF($A242&gt;TODAY(),"",IFERROR(INDEX(Credit_KPIs_Tbl[Total Number Contracts],MATCH($A242,Credit_KPIs_Tbl[Date - التاريخ],0)),""))</f>
        <v/>
      </c>
      <c r="E242">
        <f>IF($A242&gt;TODAY(),"",IFERROR(INDEX(Credit_KPIs_Tbl[Cancelled],MATCH($A242,Credit_KPIs_Tbl[Date - التاريخ],0)),""))</f>
        <v/>
      </c>
      <c r="F242">
        <f>IF($A242&gt;TODAY(),"",SUMIFS(Collection_Summary_Tbl[Amount - المبلغ],Collection_Summary_Tbl[Item - البند],"الاجمالي",Collection_Summary_Tbl[Date To - الى],$A242))</f>
        <v/>
      </c>
      <c r="G242">
        <f>IF($A242&gt;TODAY(),"",SUMIFS(Sales_Tbl[Count - العدد],Sales_Tbl[Date - التاريخ],$A242))</f>
        <v/>
      </c>
      <c r="H242">
        <f>IF($A242&gt;TODAY(),"",SUMIFS(Sales_Tbl[Count - العدد],Sales_Tbl[Status - الحالة],"Accepted - تم التنفيذ",Sales_Tbl[Date - التاريخ],$A242))</f>
        <v/>
      </c>
      <c r="I242">
        <f>IF($A242&gt;TODAY(),"",SUMIFS(Customer_Care_Tbl[Active - نشط],Customer_Care_Tbl[Date - التاريخ],$A242))</f>
        <v/>
      </c>
      <c r="J242">
        <f>IF($A242&gt;TODAY(),"",SUMIFS(Customer_Care_Tbl[Close - مغلق],Customer_Care_Tbl[Date - التاريخ],$A242))</f>
        <v/>
      </c>
    </row>
    <row r="243">
      <c r="A243">
        <f>A242+1</f>
        <v/>
      </c>
      <c r="B243">
        <f>IF($A243&gt;TODAY(),"",IFERROR(INDEX(Credit_KPIs_Tbl[Total Financing Amount],MATCH($A243,Credit_KPIs_Tbl[Date - التاريخ],0)),""))</f>
        <v/>
      </c>
      <c r="C243">
        <f>IF($A243&gt;TODAY(),"",IFERROR(INDEX(Credit_KPIs_Tbl[Today Financing Amount],MATCH($A243,Credit_KPIs_Tbl[Date - التاريخ],0)),""))</f>
        <v/>
      </c>
      <c r="D243">
        <f>IF($A243&gt;TODAY(),"",IFERROR(INDEX(Credit_KPIs_Tbl[Total Number Contracts],MATCH($A243,Credit_KPIs_Tbl[Date - التاريخ],0)),""))</f>
        <v/>
      </c>
      <c r="E243">
        <f>IF($A243&gt;TODAY(),"",IFERROR(INDEX(Credit_KPIs_Tbl[Cancelled],MATCH($A243,Credit_KPIs_Tbl[Date - التاريخ],0)),""))</f>
        <v/>
      </c>
      <c r="F243">
        <f>IF($A243&gt;TODAY(),"",SUMIFS(Collection_Summary_Tbl[Amount - المبلغ],Collection_Summary_Tbl[Item - البند],"الاجمالي",Collection_Summary_Tbl[Date To - الى],$A243))</f>
        <v/>
      </c>
      <c r="G243">
        <f>IF($A243&gt;TODAY(),"",SUMIFS(Sales_Tbl[Count - العدد],Sales_Tbl[Date - التاريخ],$A243))</f>
        <v/>
      </c>
      <c r="H243">
        <f>IF($A243&gt;TODAY(),"",SUMIFS(Sales_Tbl[Count - العدد],Sales_Tbl[Status - الحالة],"Accepted - تم التنفيذ",Sales_Tbl[Date - التاريخ],$A243))</f>
        <v/>
      </c>
      <c r="I243">
        <f>IF($A243&gt;TODAY(),"",SUMIFS(Customer_Care_Tbl[Active - نشط],Customer_Care_Tbl[Date - التاريخ],$A243))</f>
        <v/>
      </c>
      <c r="J243">
        <f>IF($A243&gt;TODAY(),"",SUMIFS(Customer_Care_Tbl[Close - مغلق],Customer_Care_Tbl[Date - التاريخ],$A243))</f>
        <v/>
      </c>
    </row>
    <row r="244">
      <c r="A244">
        <f>A243+1</f>
        <v/>
      </c>
      <c r="B244">
        <f>IF($A244&gt;TODAY(),"",IFERROR(INDEX(Credit_KPIs_Tbl[Total Financing Amount],MATCH($A244,Credit_KPIs_Tbl[Date - التاريخ],0)),""))</f>
        <v/>
      </c>
      <c r="C244">
        <f>IF($A244&gt;TODAY(),"",IFERROR(INDEX(Credit_KPIs_Tbl[Today Financing Amount],MATCH($A244,Credit_KPIs_Tbl[Date - التاريخ],0)),""))</f>
        <v/>
      </c>
      <c r="D244">
        <f>IF($A244&gt;TODAY(),"",IFERROR(INDEX(Credit_KPIs_Tbl[Total Number Contracts],MATCH($A244,Credit_KPIs_Tbl[Date - التاريخ],0)),""))</f>
        <v/>
      </c>
      <c r="E244">
        <f>IF($A244&gt;TODAY(),"",IFERROR(INDEX(Credit_KPIs_Tbl[Cancelled],MATCH($A244,Credit_KPIs_Tbl[Date - التاريخ],0)),""))</f>
        <v/>
      </c>
      <c r="F244">
        <f>IF($A244&gt;TODAY(),"",SUMIFS(Collection_Summary_Tbl[Amount - المبلغ],Collection_Summary_Tbl[Item - البند],"الاجمالي",Collection_Summary_Tbl[Date To - الى],$A244))</f>
        <v/>
      </c>
      <c r="G244">
        <f>IF($A244&gt;TODAY(),"",SUMIFS(Sales_Tbl[Count - العدد],Sales_Tbl[Date - التاريخ],$A244))</f>
        <v/>
      </c>
      <c r="H244">
        <f>IF($A244&gt;TODAY(),"",SUMIFS(Sales_Tbl[Count - العدد],Sales_Tbl[Status - الحالة],"Accepted - تم التنفيذ",Sales_Tbl[Date - التاريخ],$A244))</f>
        <v/>
      </c>
      <c r="I244">
        <f>IF($A244&gt;TODAY(),"",SUMIFS(Customer_Care_Tbl[Active - نشط],Customer_Care_Tbl[Date - التاريخ],$A244))</f>
        <v/>
      </c>
      <c r="J244">
        <f>IF($A244&gt;TODAY(),"",SUMIFS(Customer_Care_Tbl[Close - مغلق],Customer_Care_Tbl[Date - التاريخ],$A244))</f>
        <v/>
      </c>
    </row>
    <row r="245">
      <c r="A245">
        <f>A244+1</f>
        <v/>
      </c>
      <c r="B245">
        <f>IF($A245&gt;TODAY(),"",IFERROR(INDEX(Credit_KPIs_Tbl[Total Financing Amount],MATCH($A245,Credit_KPIs_Tbl[Date - التاريخ],0)),""))</f>
        <v/>
      </c>
      <c r="C245">
        <f>IF($A245&gt;TODAY(),"",IFERROR(INDEX(Credit_KPIs_Tbl[Today Financing Amount],MATCH($A245,Credit_KPIs_Tbl[Date - التاريخ],0)),""))</f>
        <v/>
      </c>
      <c r="D245">
        <f>IF($A245&gt;TODAY(),"",IFERROR(INDEX(Credit_KPIs_Tbl[Total Number Contracts],MATCH($A245,Credit_KPIs_Tbl[Date - التاريخ],0)),""))</f>
        <v/>
      </c>
      <c r="E245">
        <f>IF($A245&gt;TODAY(),"",IFERROR(INDEX(Credit_KPIs_Tbl[Cancelled],MATCH($A245,Credit_KPIs_Tbl[Date - التاريخ],0)),""))</f>
        <v/>
      </c>
      <c r="F245">
        <f>IF($A245&gt;TODAY(),"",SUMIFS(Collection_Summary_Tbl[Amount - المبلغ],Collection_Summary_Tbl[Item - البند],"الاجمالي",Collection_Summary_Tbl[Date To - الى],$A245))</f>
        <v/>
      </c>
      <c r="G245">
        <f>IF($A245&gt;TODAY(),"",SUMIFS(Sales_Tbl[Count - العدد],Sales_Tbl[Date - التاريخ],$A245))</f>
        <v/>
      </c>
      <c r="H245">
        <f>IF($A245&gt;TODAY(),"",SUMIFS(Sales_Tbl[Count - العدد],Sales_Tbl[Status - الحالة],"Accepted - تم التنفيذ",Sales_Tbl[Date - التاريخ],$A245))</f>
        <v/>
      </c>
      <c r="I245">
        <f>IF($A245&gt;TODAY(),"",SUMIFS(Customer_Care_Tbl[Active - نشط],Customer_Care_Tbl[Date - التاريخ],$A245))</f>
        <v/>
      </c>
      <c r="J245">
        <f>IF($A245&gt;TODAY(),"",SUMIFS(Customer_Care_Tbl[Close - مغلق],Customer_Care_Tbl[Date - التاريخ],$A245))</f>
        <v/>
      </c>
    </row>
    <row r="246">
      <c r="A246">
        <f>A245+1</f>
        <v/>
      </c>
      <c r="B246">
        <f>IF($A246&gt;TODAY(),"",IFERROR(INDEX(Credit_KPIs_Tbl[Total Financing Amount],MATCH($A246,Credit_KPIs_Tbl[Date - التاريخ],0)),""))</f>
        <v/>
      </c>
      <c r="C246">
        <f>IF($A246&gt;TODAY(),"",IFERROR(INDEX(Credit_KPIs_Tbl[Today Financing Amount],MATCH($A246,Credit_KPIs_Tbl[Date - التاريخ],0)),""))</f>
        <v/>
      </c>
      <c r="D246">
        <f>IF($A246&gt;TODAY(),"",IFERROR(INDEX(Credit_KPIs_Tbl[Total Number Contracts],MATCH($A246,Credit_KPIs_Tbl[Date - التاريخ],0)),""))</f>
        <v/>
      </c>
      <c r="E246">
        <f>IF($A246&gt;TODAY(),"",IFERROR(INDEX(Credit_KPIs_Tbl[Cancelled],MATCH($A246,Credit_KPIs_Tbl[Date - التاريخ],0)),""))</f>
        <v/>
      </c>
      <c r="F246">
        <f>IF($A246&gt;TODAY(),"",SUMIFS(Collection_Summary_Tbl[Amount - المبلغ],Collection_Summary_Tbl[Item - البند],"الاجمالي",Collection_Summary_Tbl[Date To - الى],$A246))</f>
        <v/>
      </c>
      <c r="G246">
        <f>IF($A246&gt;TODAY(),"",SUMIFS(Sales_Tbl[Count - العدد],Sales_Tbl[Date - التاريخ],$A246))</f>
        <v/>
      </c>
      <c r="H246">
        <f>IF($A246&gt;TODAY(),"",SUMIFS(Sales_Tbl[Count - العدد],Sales_Tbl[Status - الحالة],"Accepted - تم التنفيذ",Sales_Tbl[Date - التاريخ],$A246))</f>
        <v/>
      </c>
      <c r="I246">
        <f>IF($A246&gt;TODAY(),"",SUMIFS(Customer_Care_Tbl[Active - نشط],Customer_Care_Tbl[Date - التاريخ],$A246))</f>
        <v/>
      </c>
      <c r="J246">
        <f>IF($A246&gt;TODAY(),"",SUMIFS(Customer_Care_Tbl[Close - مغلق],Customer_Care_Tbl[Date - التاريخ],$A246))</f>
        <v/>
      </c>
    </row>
    <row r="247">
      <c r="A247">
        <f>A246+1</f>
        <v/>
      </c>
      <c r="B247">
        <f>IF($A247&gt;TODAY(),"",IFERROR(INDEX(Credit_KPIs_Tbl[Total Financing Amount],MATCH($A247,Credit_KPIs_Tbl[Date - التاريخ],0)),""))</f>
        <v/>
      </c>
      <c r="C247">
        <f>IF($A247&gt;TODAY(),"",IFERROR(INDEX(Credit_KPIs_Tbl[Today Financing Amount],MATCH($A247,Credit_KPIs_Tbl[Date - التاريخ],0)),""))</f>
        <v/>
      </c>
      <c r="D247">
        <f>IF($A247&gt;TODAY(),"",IFERROR(INDEX(Credit_KPIs_Tbl[Total Number Contracts],MATCH($A247,Credit_KPIs_Tbl[Date - التاريخ],0)),""))</f>
        <v/>
      </c>
      <c r="E247">
        <f>IF($A247&gt;TODAY(),"",IFERROR(INDEX(Credit_KPIs_Tbl[Cancelled],MATCH($A247,Credit_KPIs_Tbl[Date - التاريخ],0)),""))</f>
        <v/>
      </c>
      <c r="F247">
        <f>IF($A247&gt;TODAY(),"",SUMIFS(Collection_Summary_Tbl[Amount - المبلغ],Collection_Summary_Tbl[Item - البند],"الاجمالي",Collection_Summary_Tbl[Date To - الى],$A247))</f>
        <v/>
      </c>
      <c r="G247">
        <f>IF($A247&gt;TODAY(),"",SUMIFS(Sales_Tbl[Count - العدد],Sales_Tbl[Date - التاريخ],$A247))</f>
        <v/>
      </c>
      <c r="H247">
        <f>IF($A247&gt;TODAY(),"",SUMIFS(Sales_Tbl[Count - العدد],Sales_Tbl[Status - الحالة],"Accepted - تم التنفيذ",Sales_Tbl[Date - التاريخ],$A247))</f>
        <v/>
      </c>
      <c r="I247">
        <f>IF($A247&gt;TODAY(),"",SUMIFS(Customer_Care_Tbl[Active - نشط],Customer_Care_Tbl[Date - التاريخ],$A247))</f>
        <v/>
      </c>
      <c r="J247">
        <f>IF($A247&gt;TODAY(),"",SUMIFS(Customer_Care_Tbl[Close - مغلق],Customer_Care_Tbl[Date - التاريخ],$A247))</f>
        <v/>
      </c>
    </row>
    <row r="248">
      <c r="A248">
        <f>A247+1</f>
        <v/>
      </c>
      <c r="B248">
        <f>IF($A248&gt;TODAY(),"",IFERROR(INDEX(Credit_KPIs_Tbl[Total Financing Amount],MATCH($A248,Credit_KPIs_Tbl[Date - التاريخ],0)),""))</f>
        <v/>
      </c>
      <c r="C248">
        <f>IF($A248&gt;TODAY(),"",IFERROR(INDEX(Credit_KPIs_Tbl[Today Financing Amount],MATCH($A248,Credit_KPIs_Tbl[Date - التاريخ],0)),""))</f>
        <v/>
      </c>
      <c r="D248">
        <f>IF($A248&gt;TODAY(),"",IFERROR(INDEX(Credit_KPIs_Tbl[Total Number Contracts],MATCH($A248,Credit_KPIs_Tbl[Date - التاريخ],0)),""))</f>
        <v/>
      </c>
      <c r="E248">
        <f>IF($A248&gt;TODAY(),"",IFERROR(INDEX(Credit_KPIs_Tbl[Cancelled],MATCH($A248,Credit_KPIs_Tbl[Date - التاريخ],0)),""))</f>
        <v/>
      </c>
      <c r="F248">
        <f>IF($A248&gt;TODAY(),"",SUMIFS(Collection_Summary_Tbl[Amount - المبلغ],Collection_Summary_Tbl[Item - البند],"الاجمالي",Collection_Summary_Tbl[Date To - الى],$A248))</f>
        <v/>
      </c>
      <c r="G248">
        <f>IF($A248&gt;TODAY(),"",SUMIFS(Sales_Tbl[Count - العدد],Sales_Tbl[Date - التاريخ],$A248))</f>
        <v/>
      </c>
      <c r="H248">
        <f>IF($A248&gt;TODAY(),"",SUMIFS(Sales_Tbl[Count - العدد],Sales_Tbl[Status - الحالة],"Accepted - تم التنفيذ",Sales_Tbl[Date - التاريخ],$A248))</f>
        <v/>
      </c>
      <c r="I248">
        <f>IF($A248&gt;TODAY(),"",SUMIFS(Customer_Care_Tbl[Active - نشط],Customer_Care_Tbl[Date - التاريخ],$A248))</f>
        <v/>
      </c>
      <c r="J248">
        <f>IF($A248&gt;TODAY(),"",SUMIFS(Customer_Care_Tbl[Close - مغلق],Customer_Care_Tbl[Date - التاريخ],$A248))</f>
        <v/>
      </c>
    </row>
    <row r="249">
      <c r="A249">
        <f>A248+1</f>
        <v/>
      </c>
      <c r="B249">
        <f>IF($A249&gt;TODAY(),"",IFERROR(INDEX(Credit_KPIs_Tbl[Total Financing Amount],MATCH($A249,Credit_KPIs_Tbl[Date - التاريخ],0)),""))</f>
        <v/>
      </c>
      <c r="C249">
        <f>IF($A249&gt;TODAY(),"",IFERROR(INDEX(Credit_KPIs_Tbl[Today Financing Amount],MATCH($A249,Credit_KPIs_Tbl[Date - التاريخ],0)),""))</f>
        <v/>
      </c>
      <c r="D249">
        <f>IF($A249&gt;TODAY(),"",IFERROR(INDEX(Credit_KPIs_Tbl[Total Number Contracts],MATCH($A249,Credit_KPIs_Tbl[Date - التاريخ],0)),""))</f>
        <v/>
      </c>
      <c r="E249">
        <f>IF($A249&gt;TODAY(),"",IFERROR(INDEX(Credit_KPIs_Tbl[Cancelled],MATCH($A249,Credit_KPIs_Tbl[Date - التاريخ],0)),""))</f>
        <v/>
      </c>
      <c r="F249">
        <f>IF($A249&gt;TODAY(),"",SUMIFS(Collection_Summary_Tbl[Amount - المبلغ],Collection_Summary_Tbl[Item - البند],"الاجمالي",Collection_Summary_Tbl[Date To - الى],$A249))</f>
        <v/>
      </c>
      <c r="G249">
        <f>IF($A249&gt;TODAY(),"",SUMIFS(Sales_Tbl[Count - العدد],Sales_Tbl[Date - التاريخ],$A249))</f>
        <v/>
      </c>
      <c r="H249">
        <f>IF($A249&gt;TODAY(),"",SUMIFS(Sales_Tbl[Count - العدد],Sales_Tbl[Status - الحالة],"Accepted - تم التنفيذ",Sales_Tbl[Date - التاريخ],$A249))</f>
        <v/>
      </c>
      <c r="I249">
        <f>IF($A249&gt;TODAY(),"",SUMIFS(Customer_Care_Tbl[Active - نشط],Customer_Care_Tbl[Date - التاريخ],$A249))</f>
        <v/>
      </c>
      <c r="J249">
        <f>IF($A249&gt;TODAY(),"",SUMIFS(Customer_Care_Tbl[Close - مغلق],Customer_Care_Tbl[Date - التاريخ],$A249))</f>
        <v/>
      </c>
    </row>
    <row r="250">
      <c r="A250">
        <f>A249+1</f>
        <v/>
      </c>
      <c r="B250">
        <f>IF($A250&gt;TODAY(),"",IFERROR(INDEX(Credit_KPIs_Tbl[Total Financing Amount],MATCH($A250,Credit_KPIs_Tbl[Date - التاريخ],0)),""))</f>
        <v/>
      </c>
      <c r="C250">
        <f>IF($A250&gt;TODAY(),"",IFERROR(INDEX(Credit_KPIs_Tbl[Today Financing Amount],MATCH($A250,Credit_KPIs_Tbl[Date - التاريخ],0)),""))</f>
        <v/>
      </c>
      <c r="D250">
        <f>IF($A250&gt;TODAY(),"",IFERROR(INDEX(Credit_KPIs_Tbl[Total Number Contracts],MATCH($A250,Credit_KPIs_Tbl[Date - التاريخ],0)),""))</f>
        <v/>
      </c>
      <c r="E250">
        <f>IF($A250&gt;TODAY(),"",IFERROR(INDEX(Credit_KPIs_Tbl[Cancelled],MATCH($A250,Credit_KPIs_Tbl[Date - التاريخ],0)),""))</f>
        <v/>
      </c>
      <c r="F250">
        <f>IF($A250&gt;TODAY(),"",SUMIFS(Collection_Summary_Tbl[Amount - المبلغ],Collection_Summary_Tbl[Item - البند],"الاجمالي",Collection_Summary_Tbl[Date To - الى],$A250))</f>
        <v/>
      </c>
      <c r="G250">
        <f>IF($A250&gt;TODAY(),"",SUMIFS(Sales_Tbl[Count - العدد],Sales_Tbl[Date - التاريخ],$A250))</f>
        <v/>
      </c>
      <c r="H250">
        <f>IF($A250&gt;TODAY(),"",SUMIFS(Sales_Tbl[Count - العدد],Sales_Tbl[Status - الحالة],"Accepted - تم التنفيذ",Sales_Tbl[Date - التاريخ],$A250))</f>
        <v/>
      </c>
      <c r="I250">
        <f>IF($A250&gt;TODAY(),"",SUMIFS(Customer_Care_Tbl[Active - نشط],Customer_Care_Tbl[Date - التاريخ],$A250))</f>
        <v/>
      </c>
      <c r="J250">
        <f>IF($A250&gt;TODAY(),"",SUMIFS(Customer_Care_Tbl[Close - مغلق],Customer_Care_Tbl[Date - التاريخ],$A250))</f>
        <v/>
      </c>
    </row>
    <row r="251">
      <c r="A251">
        <f>A250+1</f>
        <v/>
      </c>
      <c r="B251">
        <f>IF($A251&gt;TODAY(),"",IFERROR(INDEX(Credit_KPIs_Tbl[Total Financing Amount],MATCH($A251,Credit_KPIs_Tbl[Date - التاريخ],0)),""))</f>
        <v/>
      </c>
      <c r="C251">
        <f>IF($A251&gt;TODAY(),"",IFERROR(INDEX(Credit_KPIs_Tbl[Today Financing Amount],MATCH($A251,Credit_KPIs_Tbl[Date - التاريخ],0)),""))</f>
        <v/>
      </c>
      <c r="D251">
        <f>IF($A251&gt;TODAY(),"",IFERROR(INDEX(Credit_KPIs_Tbl[Total Number Contracts],MATCH($A251,Credit_KPIs_Tbl[Date - التاريخ],0)),""))</f>
        <v/>
      </c>
      <c r="E251">
        <f>IF($A251&gt;TODAY(),"",IFERROR(INDEX(Credit_KPIs_Tbl[Cancelled],MATCH($A251,Credit_KPIs_Tbl[Date - التاريخ],0)),""))</f>
        <v/>
      </c>
      <c r="F251">
        <f>IF($A251&gt;TODAY(),"",SUMIFS(Collection_Summary_Tbl[Amount - المبلغ],Collection_Summary_Tbl[Item - البند],"الاجمالي",Collection_Summary_Tbl[Date To - الى],$A251))</f>
        <v/>
      </c>
      <c r="G251">
        <f>IF($A251&gt;TODAY(),"",SUMIFS(Sales_Tbl[Count - العدد],Sales_Tbl[Date - التاريخ],$A251))</f>
        <v/>
      </c>
      <c r="H251">
        <f>IF($A251&gt;TODAY(),"",SUMIFS(Sales_Tbl[Count - العدد],Sales_Tbl[Status - الحالة],"Accepted - تم التنفيذ",Sales_Tbl[Date - التاريخ],$A251))</f>
        <v/>
      </c>
      <c r="I251">
        <f>IF($A251&gt;TODAY(),"",SUMIFS(Customer_Care_Tbl[Active - نشط],Customer_Care_Tbl[Date - التاريخ],$A251))</f>
        <v/>
      </c>
      <c r="J251">
        <f>IF($A251&gt;TODAY(),"",SUMIFS(Customer_Care_Tbl[Close - مغلق],Customer_Care_Tbl[Date - التاريخ],$A251))</f>
        <v/>
      </c>
    </row>
    <row r="252">
      <c r="A252">
        <f>A251+1</f>
        <v/>
      </c>
      <c r="B252">
        <f>IF($A252&gt;TODAY(),"",IFERROR(INDEX(Credit_KPIs_Tbl[Total Financing Amount],MATCH($A252,Credit_KPIs_Tbl[Date - التاريخ],0)),""))</f>
        <v/>
      </c>
      <c r="C252">
        <f>IF($A252&gt;TODAY(),"",IFERROR(INDEX(Credit_KPIs_Tbl[Today Financing Amount],MATCH($A252,Credit_KPIs_Tbl[Date - التاريخ],0)),""))</f>
        <v/>
      </c>
      <c r="D252">
        <f>IF($A252&gt;TODAY(),"",IFERROR(INDEX(Credit_KPIs_Tbl[Total Number Contracts],MATCH($A252,Credit_KPIs_Tbl[Date - التاريخ],0)),""))</f>
        <v/>
      </c>
      <c r="E252">
        <f>IF($A252&gt;TODAY(),"",IFERROR(INDEX(Credit_KPIs_Tbl[Cancelled],MATCH($A252,Credit_KPIs_Tbl[Date - التاريخ],0)),""))</f>
        <v/>
      </c>
      <c r="F252">
        <f>IF($A252&gt;TODAY(),"",SUMIFS(Collection_Summary_Tbl[Amount - المبلغ],Collection_Summary_Tbl[Item - البند],"الاجمالي",Collection_Summary_Tbl[Date To - الى],$A252))</f>
        <v/>
      </c>
      <c r="G252">
        <f>IF($A252&gt;TODAY(),"",SUMIFS(Sales_Tbl[Count - العدد],Sales_Tbl[Date - التاريخ],$A252))</f>
        <v/>
      </c>
      <c r="H252">
        <f>IF($A252&gt;TODAY(),"",SUMIFS(Sales_Tbl[Count - العدد],Sales_Tbl[Status - الحالة],"Accepted - تم التنفيذ",Sales_Tbl[Date - التاريخ],$A252))</f>
        <v/>
      </c>
      <c r="I252">
        <f>IF($A252&gt;TODAY(),"",SUMIFS(Customer_Care_Tbl[Active - نشط],Customer_Care_Tbl[Date - التاريخ],$A252))</f>
        <v/>
      </c>
      <c r="J252">
        <f>IF($A252&gt;TODAY(),"",SUMIFS(Customer_Care_Tbl[Close - مغلق],Customer_Care_Tbl[Date - التاريخ],$A252))</f>
        <v/>
      </c>
    </row>
    <row r="253">
      <c r="A253">
        <f>A252+1</f>
        <v/>
      </c>
      <c r="B253">
        <f>IF($A253&gt;TODAY(),"",IFERROR(INDEX(Credit_KPIs_Tbl[Total Financing Amount],MATCH($A253,Credit_KPIs_Tbl[Date - التاريخ],0)),""))</f>
        <v/>
      </c>
      <c r="C253">
        <f>IF($A253&gt;TODAY(),"",IFERROR(INDEX(Credit_KPIs_Tbl[Today Financing Amount],MATCH($A253,Credit_KPIs_Tbl[Date - التاريخ],0)),""))</f>
        <v/>
      </c>
      <c r="D253">
        <f>IF($A253&gt;TODAY(),"",IFERROR(INDEX(Credit_KPIs_Tbl[Total Number Contracts],MATCH($A253,Credit_KPIs_Tbl[Date - التاريخ],0)),""))</f>
        <v/>
      </c>
      <c r="E253">
        <f>IF($A253&gt;TODAY(),"",IFERROR(INDEX(Credit_KPIs_Tbl[Cancelled],MATCH($A253,Credit_KPIs_Tbl[Date - التاريخ],0)),""))</f>
        <v/>
      </c>
      <c r="F253">
        <f>IF($A253&gt;TODAY(),"",SUMIFS(Collection_Summary_Tbl[Amount - المبلغ],Collection_Summary_Tbl[Item - البند],"الاجمالي",Collection_Summary_Tbl[Date To - الى],$A253))</f>
        <v/>
      </c>
      <c r="G253">
        <f>IF($A253&gt;TODAY(),"",SUMIFS(Sales_Tbl[Count - العدد],Sales_Tbl[Date - التاريخ],$A253))</f>
        <v/>
      </c>
      <c r="H253">
        <f>IF($A253&gt;TODAY(),"",SUMIFS(Sales_Tbl[Count - العدد],Sales_Tbl[Status - الحالة],"Accepted - تم التنفيذ",Sales_Tbl[Date - التاريخ],$A253))</f>
        <v/>
      </c>
      <c r="I253">
        <f>IF($A253&gt;TODAY(),"",SUMIFS(Customer_Care_Tbl[Active - نشط],Customer_Care_Tbl[Date - التاريخ],$A253))</f>
        <v/>
      </c>
      <c r="J253">
        <f>IF($A253&gt;TODAY(),"",SUMIFS(Customer_Care_Tbl[Close - مغلق],Customer_Care_Tbl[Date - التاريخ],$A253))</f>
        <v/>
      </c>
    </row>
    <row r="254">
      <c r="A254">
        <f>A253+1</f>
        <v/>
      </c>
      <c r="B254">
        <f>IF($A254&gt;TODAY(),"",IFERROR(INDEX(Credit_KPIs_Tbl[Total Financing Amount],MATCH($A254,Credit_KPIs_Tbl[Date - التاريخ],0)),""))</f>
        <v/>
      </c>
      <c r="C254">
        <f>IF($A254&gt;TODAY(),"",IFERROR(INDEX(Credit_KPIs_Tbl[Today Financing Amount],MATCH($A254,Credit_KPIs_Tbl[Date - التاريخ],0)),""))</f>
        <v/>
      </c>
      <c r="D254">
        <f>IF($A254&gt;TODAY(),"",IFERROR(INDEX(Credit_KPIs_Tbl[Total Number Contracts],MATCH($A254,Credit_KPIs_Tbl[Date - التاريخ],0)),""))</f>
        <v/>
      </c>
      <c r="E254">
        <f>IF($A254&gt;TODAY(),"",IFERROR(INDEX(Credit_KPIs_Tbl[Cancelled],MATCH($A254,Credit_KPIs_Tbl[Date - التاريخ],0)),""))</f>
        <v/>
      </c>
      <c r="F254">
        <f>IF($A254&gt;TODAY(),"",SUMIFS(Collection_Summary_Tbl[Amount - المبلغ],Collection_Summary_Tbl[Item - البند],"الاجمالي",Collection_Summary_Tbl[Date To - الى],$A254))</f>
        <v/>
      </c>
      <c r="G254">
        <f>IF($A254&gt;TODAY(),"",SUMIFS(Sales_Tbl[Count - العدد],Sales_Tbl[Date - التاريخ],$A254))</f>
        <v/>
      </c>
      <c r="H254">
        <f>IF($A254&gt;TODAY(),"",SUMIFS(Sales_Tbl[Count - العدد],Sales_Tbl[Status - الحالة],"Accepted - تم التنفيذ",Sales_Tbl[Date - التاريخ],$A254))</f>
        <v/>
      </c>
      <c r="I254">
        <f>IF($A254&gt;TODAY(),"",SUMIFS(Customer_Care_Tbl[Active - نشط],Customer_Care_Tbl[Date - التاريخ],$A254))</f>
        <v/>
      </c>
      <c r="J254">
        <f>IF($A254&gt;TODAY(),"",SUMIFS(Customer_Care_Tbl[Close - مغلق],Customer_Care_Tbl[Date - التاريخ],$A254))</f>
        <v/>
      </c>
    </row>
    <row r="255">
      <c r="A255">
        <f>A254+1</f>
        <v/>
      </c>
      <c r="B255">
        <f>IF($A255&gt;TODAY(),"",IFERROR(INDEX(Credit_KPIs_Tbl[Total Financing Amount],MATCH($A255,Credit_KPIs_Tbl[Date - التاريخ],0)),""))</f>
        <v/>
      </c>
      <c r="C255">
        <f>IF($A255&gt;TODAY(),"",IFERROR(INDEX(Credit_KPIs_Tbl[Today Financing Amount],MATCH($A255,Credit_KPIs_Tbl[Date - التاريخ],0)),""))</f>
        <v/>
      </c>
      <c r="D255">
        <f>IF($A255&gt;TODAY(),"",IFERROR(INDEX(Credit_KPIs_Tbl[Total Number Contracts],MATCH($A255,Credit_KPIs_Tbl[Date - التاريخ],0)),""))</f>
        <v/>
      </c>
      <c r="E255">
        <f>IF($A255&gt;TODAY(),"",IFERROR(INDEX(Credit_KPIs_Tbl[Cancelled],MATCH($A255,Credit_KPIs_Tbl[Date - التاريخ],0)),""))</f>
        <v/>
      </c>
      <c r="F255">
        <f>IF($A255&gt;TODAY(),"",SUMIFS(Collection_Summary_Tbl[Amount - المبلغ],Collection_Summary_Tbl[Item - البند],"الاجمالي",Collection_Summary_Tbl[Date To - الى],$A255))</f>
        <v/>
      </c>
      <c r="G255">
        <f>IF($A255&gt;TODAY(),"",SUMIFS(Sales_Tbl[Count - العدد],Sales_Tbl[Date - التاريخ],$A255))</f>
        <v/>
      </c>
      <c r="H255">
        <f>IF($A255&gt;TODAY(),"",SUMIFS(Sales_Tbl[Count - العدد],Sales_Tbl[Status - الحالة],"Accepted - تم التنفيذ",Sales_Tbl[Date - التاريخ],$A255))</f>
        <v/>
      </c>
      <c r="I255">
        <f>IF($A255&gt;TODAY(),"",SUMIFS(Customer_Care_Tbl[Active - نشط],Customer_Care_Tbl[Date - التاريخ],$A255))</f>
        <v/>
      </c>
      <c r="J255">
        <f>IF($A255&gt;TODAY(),"",SUMIFS(Customer_Care_Tbl[Close - مغلق],Customer_Care_Tbl[Date - التاريخ],$A255))</f>
        <v/>
      </c>
    </row>
    <row r="256">
      <c r="A256">
        <f>A255+1</f>
        <v/>
      </c>
      <c r="B256">
        <f>IF($A256&gt;TODAY(),"",IFERROR(INDEX(Credit_KPIs_Tbl[Total Financing Amount],MATCH($A256,Credit_KPIs_Tbl[Date - التاريخ],0)),""))</f>
        <v/>
      </c>
      <c r="C256">
        <f>IF($A256&gt;TODAY(),"",IFERROR(INDEX(Credit_KPIs_Tbl[Today Financing Amount],MATCH($A256,Credit_KPIs_Tbl[Date - التاريخ],0)),""))</f>
        <v/>
      </c>
      <c r="D256">
        <f>IF($A256&gt;TODAY(),"",IFERROR(INDEX(Credit_KPIs_Tbl[Total Number Contracts],MATCH($A256,Credit_KPIs_Tbl[Date - التاريخ],0)),""))</f>
        <v/>
      </c>
      <c r="E256">
        <f>IF($A256&gt;TODAY(),"",IFERROR(INDEX(Credit_KPIs_Tbl[Cancelled],MATCH($A256,Credit_KPIs_Tbl[Date - التاريخ],0)),""))</f>
        <v/>
      </c>
      <c r="F256">
        <f>IF($A256&gt;TODAY(),"",SUMIFS(Collection_Summary_Tbl[Amount - المبلغ],Collection_Summary_Tbl[Item - البند],"الاجمالي",Collection_Summary_Tbl[Date To - الى],$A256))</f>
        <v/>
      </c>
      <c r="G256">
        <f>IF($A256&gt;TODAY(),"",SUMIFS(Sales_Tbl[Count - العدد],Sales_Tbl[Date - التاريخ],$A256))</f>
        <v/>
      </c>
      <c r="H256">
        <f>IF($A256&gt;TODAY(),"",SUMIFS(Sales_Tbl[Count - العدد],Sales_Tbl[Status - الحالة],"Accepted - تم التنفيذ",Sales_Tbl[Date - التاريخ],$A256))</f>
        <v/>
      </c>
      <c r="I256">
        <f>IF($A256&gt;TODAY(),"",SUMIFS(Customer_Care_Tbl[Active - نشط],Customer_Care_Tbl[Date - التاريخ],$A256))</f>
        <v/>
      </c>
      <c r="J256">
        <f>IF($A256&gt;TODAY(),"",SUMIFS(Customer_Care_Tbl[Close - مغلق],Customer_Care_Tbl[Date - التاريخ],$A256))</f>
        <v/>
      </c>
    </row>
    <row r="257">
      <c r="A257">
        <f>A256+1</f>
        <v/>
      </c>
      <c r="B257">
        <f>IF($A257&gt;TODAY(),"",IFERROR(INDEX(Credit_KPIs_Tbl[Total Financing Amount],MATCH($A257,Credit_KPIs_Tbl[Date - التاريخ],0)),""))</f>
        <v/>
      </c>
      <c r="C257">
        <f>IF($A257&gt;TODAY(),"",IFERROR(INDEX(Credit_KPIs_Tbl[Today Financing Amount],MATCH($A257,Credit_KPIs_Tbl[Date - التاريخ],0)),""))</f>
        <v/>
      </c>
      <c r="D257">
        <f>IF($A257&gt;TODAY(),"",IFERROR(INDEX(Credit_KPIs_Tbl[Total Number Contracts],MATCH($A257,Credit_KPIs_Tbl[Date - التاريخ],0)),""))</f>
        <v/>
      </c>
      <c r="E257">
        <f>IF($A257&gt;TODAY(),"",IFERROR(INDEX(Credit_KPIs_Tbl[Cancelled],MATCH($A257,Credit_KPIs_Tbl[Date - التاريخ],0)),""))</f>
        <v/>
      </c>
      <c r="F257">
        <f>IF($A257&gt;TODAY(),"",SUMIFS(Collection_Summary_Tbl[Amount - المبلغ],Collection_Summary_Tbl[Item - البند],"الاجمالي",Collection_Summary_Tbl[Date To - الى],$A257))</f>
        <v/>
      </c>
      <c r="G257">
        <f>IF($A257&gt;TODAY(),"",SUMIFS(Sales_Tbl[Count - العدد],Sales_Tbl[Date - التاريخ],$A257))</f>
        <v/>
      </c>
      <c r="H257">
        <f>IF($A257&gt;TODAY(),"",SUMIFS(Sales_Tbl[Count - العدد],Sales_Tbl[Status - الحالة],"Accepted - تم التنفيذ",Sales_Tbl[Date - التاريخ],$A257))</f>
        <v/>
      </c>
      <c r="I257">
        <f>IF($A257&gt;TODAY(),"",SUMIFS(Customer_Care_Tbl[Active - نشط],Customer_Care_Tbl[Date - التاريخ],$A257))</f>
        <v/>
      </c>
      <c r="J257">
        <f>IF($A257&gt;TODAY(),"",SUMIFS(Customer_Care_Tbl[Close - مغلق],Customer_Care_Tbl[Date - التاريخ],$A257))</f>
        <v/>
      </c>
    </row>
    <row r="258">
      <c r="A258">
        <f>A257+1</f>
        <v/>
      </c>
      <c r="B258">
        <f>IF($A258&gt;TODAY(),"",IFERROR(INDEX(Credit_KPIs_Tbl[Total Financing Amount],MATCH($A258,Credit_KPIs_Tbl[Date - التاريخ],0)),""))</f>
        <v/>
      </c>
      <c r="C258">
        <f>IF($A258&gt;TODAY(),"",IFERROR(INDEX(Credit_KPIs_Tbl[Today Financing Amount],MATCH($A258,Credit_KPIs_Tbl[Date - التاريخ],0)),""))</f>
        <v/>
      </c>
      <c r="D258">
        <f>IF($A258&gt;TODAY(),"",IFERROR(INDEX(Credit_KPIs_Tbl[Total Number Contracts],MATCH($A258,Credit_KPIs_Tbl[Date - التاريخ],0)),""))</f>
        <v/>
      </c>
      <c r="E258">
        <f>IF($A258&gt;TODAY(),"",IFERROR(INDEX(Credit_KPIs_Tbl[Cancelled],MATCH($A258,Credit_KPIs_Tbl[Date - التاريخ],0)),""))</f>
        <v/>
      </c>
      <c r="F258">
        <f>IF($A258&gt;TODAY(),"",SUMIFS(Collection_Summary_Tbl[Amount - المبلغ],Collection_Summary_Tbl[Item - البند],"الاجمالي",Collection_Summary_Tbl[Date To - الى],$A258))</f>
        <v/>
      </c>
      <c r="G258">
        <f>IF($A258&gt;TODAY(),"",SUMIFS(Sales_Tbl[Count - العدد],Sales_Tbl[Date - التاريخ],$A258))</f>
        <v/>
      </c>
      <c r="H258">
        <f>IF($A258&gt;TODAY(),"",SUMIFS(Sales_Tbl[Count - العدد],Sales_Tbl[Status - الحالة],"Accepted - تم التنفيذ",Sales_Tbl[Date - التاريخ],$A258))</f>
        <v/>
      </c>
      <c r="I258">
        <f>IF($A258&gt;TODAY(),"",SUMIFS(Customer_Care_Tbl[Active - نشط],Customer_Care_Tbl[Date - التاريخ],$A258))</f>
        <v/>
      </c>
      <c r="J258">
        <f>IF($A258&gt;TODAY(),"",SUMIFS(Customer_Care_Tbl[Close - مغلق],Customer_Care_Tbl[Date - التاريخ],$A258))</f>
        <v/>
      </c>
    </row>
    <row r="259">
      <c r="A259">
        <f>A258+1</f>
        <v/>
      </c>
      <c r="B259">
        <f>IF($A259&gt;TODAY(),"",IFERROR(INDEX(Credit_KPIs_Tbl[Total Financing Amount],MATCH($A259,Credit_KPIs_Tbl[Date - التاريخ],0)),""))</f>
        <v/>
      </c>
      <c r="C259">
        <f>IF($A259&gt;TODAY(),"",IFERROR(INDEX(Credit_KPIs_Tbl[Today Financing Amount],MATCH($A259,Credit_KPIs_Tbl[Date - التاريخ],0)),""))</f>
        <v/>
      </c>
      <c r="D259">
        <f>IF($A259&gt;TODAY(),"",IFERROR(INDEX(Credit_KPIs_Tbl[Total Number Contracts],MATCH($A259,Credit_KPIs_Tbl[Date - التاريخ],0)),""))</f>
        <v/>
      </c>
      <c r="E259">
        <f>IF($A259&gt;TODAY(),"",IFERROR(INDEX(Credit_KPIs_Tbl[Cancelled],MATCH($A259,Credit_KPIs_Tbl[Date - التاريخ],0)),""))</f>
        <v/>
      </c>
      <c r="F259">
        <f>IF($A259&gt;TODAY(),"",SUMIFS(Collection_Summary_Tbl[Amount - المبلغ],Collection_Summary_Tbl[Item - البند],"الاجمالي",Collection_Summary_Tbl[Date To - الى],$A259))</f>
        <v/>
      </c>
      <c r="G259">
        <f>IF($A259&gt;TODAY(),"",SUMIFS(Sales_Tbl[Count - العدد],Sales_Tbl[Date - التاريخ],$A259))</f>
        <v/>
      </c>
      <c r="H259">
        <f>IF($A259&gt;TODAY(),"",SUMIFS(Sales_Tbl[Count - العدد],Sales_Tbl[Status - الحالة],"Accepted - تم التنفيذ",Sales_Tbl[Date - التاريخ],$A259))</f>
        <v/>
      </c>
      <c r="I259">
        <f>IF($A259&gt;TODAY(),"",SUMIFS(Customer_Care_Tbl[Active - نشط],Customer_Care_Tbl[Date - التاريخ],$A259))</f>
        <v/>
      </c>
      <c r="J259">
        <f>IF($A259&gt;TODAY(),"",SUMIFS(Customer_Care_Tbl[Close - مغلق],Customer_Care_Tbl[Date - التاريخ],$A259))</f>
        <v/>
      </c>
    </row>
    <row r="260">
      <c r="A260">
        <f>A259+1</f>
        <v/>
      </c>
      <c r="B260">
        <f>IF($A260&gt;TODAY(),"",IFERROR(INDEX(Credit_KPIs_Tbl[Total Financing Amount],MATCH($A260,Credit_KPIs_Tbl[Date - التاريخ],0)),""))</f>
        <v/>
      </c>
      <c r="C260">
        <f>IF($A260&gt;TODAY(),"",IFERROR(INDEX(Credit_KPIs_Tbl[Today Financing Amount],MATCH($A260,Credit_KPIs_Tbl[Date - التاريخ],0)),""))</f>
        <v/>
      </c>
      <c r="D260">
        <f>IF($A260&gt;TODAY(),"",IFERROR(INDEX(Credit_KPIs_Tbl[Total Number Contracts],MATCH($A260,Credit_KPIs_Tbl[Date - التاريخ],0)),""))</f>
        <v/>
      </c>
      <c r="E260">
        <f>IF($A260&gt;TODAY(),"",IFERROR(INDEX(Credit_KPIs_Tbl[Cancelled],MATCH($A260,Credit_KPIs_Tbl[Date - التاريخ],0)),""))</f>
        <v/>
      </c>
      <c r="F260">
        <f>IF($A260&gt;TODAY(),"",SUMIFS(Collection_Summary_Tbl[Amount - المبلغ],Collection_Summary_Tbl[Item - البند],"الاجمالي",Collection_Summary_Tbl[Date To - الى],$A260))</f>
        <v/>
      </c>
      <c r="G260">
        <f>IF($A260&gt;TODAY(),"",SUMIFS(Sales_Tbl[Count - العدد],Sales_Tbl[Date - التاريخ],$A260))</f>
        <v/>
      </c>
      <c r="H260">
        <f>IF($A260&gt;TODAY(),"",SUMIFS(Sales_Tbl[Count - العدد],Sales_Tbl[Status - الحالة],"Accepted - تم التنفيذ",Sales_Tbl[Date - التاريخ],$A260))</f>
        <v/>
      </c>
      <c r="I260">
        <f>IF($A260&gt;TODAY(),"",SUMIFS(Customer_Care_Tbl[Active - نشط],Customer_Care_Tbl[Date - التاريخ],$A260))</f>
        <v/>
      </c>
      <c r="J260">
        <f>IF($A260&gt;TODAY(),"",SUMIFS(Customer_Care_Tbl[Close - مغلق],Customer_Care_Tbl[Date - التاريخ],$A260))</f>
        <v/>
      </c>
    </row>
    <row r="261">
      <c r="A261">
        <f>A260+1</f>
        <v/>
      </c>
      <c r="B261">
        <f>IF($A261&gt;TODAY(),"",IFERROR(INDEX(Credit_KPIs_Tbl[Total Financing Amount],MATCH($A261,Credit_KPIs_Tbl[Date - التاريخ],0)),""))</f>
        <v/>
      </c>
      <c r="C261">
        <f>IF($A261&gt;TODAY(),"",IFERROR(INDEX(Credit_KPIs_Tbl[Today Financing Amount],MATCH($A261,Credit_KPIs_Tbl[Date - التاريخ],0)),""))</f>
        <v/>
      </c>
      <c r="D261">
        <f>IF($A261&gt;TODAY(),"",IFERROR(INDEX(Credit_KPIs_Tbl[Total Number Contracts],MATCH($A261,Credit_KPIs_Tbl[Date - التاريخ],0)),""))</f>
        <v/>
      </c>
      <c r="E261">
        <f>IF($A261&gt;TODAY(),"",IFERROR(INDEX(Credit_KPIs_Tbl[Cancelled],MATCH($A261,Credit_KPIs_Tbl[Date - التاريخ],0)),""))</f>
        <v/>
      </c>
      <c r="F261">
        <f>IF($A261&gt;TODAY(),"",SUMIFS(Collection_Summary_Tbl[Amount - المبلغ],Collection_Summary_Tbl[Item - البند],"الاجمالي",Collection_Summary_Tbl[Date To - الى],$A261))</f>
        <v/>
      </c>
      <c r="G261">
        <f>IF($A261&gt;TODAY(),"",SUMIFS(Sales_Tbl[Count - العدد],Sales_Tbl[Date - التاريخ],$A261))</f>
        <v/>
      </c>
      <c r="H261">
        <f>IF($A261&gt;TODAY(),"",SUMIFS(Sales_Tbl[Count - العدد],Sales_Tbl[Status - الحالة],"Accepted - تم التنفيذ",Sales_Tbl[Date - التاريخ],$A261))</f>
        <v/>
      </c>
      <c r="I261">
        <f>IF($A261&gt;TODAY(),"",SUMIFS(Customer_Care_Tbl[Active - نشط],Customer_Care_Tbl[Date - التاريخ],$A261))</f>
        <v/>
      </c>
      <c r="J261">
        <f>IF($A261&gt;TODAY(),"",SUMIFS(Customer_Care_Tbl[Close - مغلق],Customer_Care_Tbl[Date - التاريخ],$A261))</f>
        <v/>
      </c>
    </row>
    <row r="262">
      <c r="A262">
        <f>A261+1</f>
        <v/>
      </c>
      <c r="B262">
        <f>IF($A262&gt;TODAY(),"",IFERROR(INDEX(Credit_KPIs_Tbl[Total Financing Amount],MATCH($A262,Credit_KPIs_Tbl[Date - التاريخ],0)),""))</f>
        <v/>
      </c>
      <c r="C262">
        <f>IF($A262&gt;TODAY(),"",IFERROR(INDEX(Credit_KPIs_Tbl[Today Financing Amount],MATCH($A262,Credit_KPIs_Tbl[Date - التاريخ],0)),""))</f>
        <v/>
      </c>
      <c r="D262">
        <f>IF($A262&gt;TODAY(),"",IFERROR(INDEX(Credit_KPIs_Tbl[Total Number Contracts],MATCH($A262,Credit_KPIs_Tbl[Date - التاريخ],0)),""))</f>
        <v/>
      </c>
      <c r="E262">
        <f>IF($A262&gt;TODAY(),"",IFERROR(INDEX(Credit_KPIs_Tbl[Cancelled],MATCH($A262,Credit_KPIs_Tbl[Date - التاريخ],0)),""))</f>
        <v/>
      </c>
      <c r="F262">
        <f>IF($A262&gt;TODAY(),"",SUMIFS(Collection_Summary_Tbl[Amount - المبلغ],Collection_Summary_Tbl[Item - البند],"الاجمالي",Collection_Summary_Tbl[Date To - الى],$A262))</f>
        <v/>
      </c>
      <c r="G262">
        <f>IF($A262&gt;TODAY(),"",SUMIFS(Sales_Tbl[Count - العدد],Sales_Tbl[Date - التاريخ],$A262))</f>
        <v/>
      </c>
      <c r="H262">
        <f>IF($A262&gt;TODAY(),"",SUMIFS(Sales_Tbl[Count - العدد],Sales_Tbl[Status - الحالة],"Accepted - تم التنفيذ",Sales_Tbl[Date - التاريخ],$A262))</f>
        <v/>
      </c>
      <c r="I262">
        <f>IF($A262&gt;TODAY(),"",SUMIFS(Customer_Care_Tbl[Active - نشط],Customer_Care_Tbl[Date - التاريخ],$A262))</f>
        <v/>
      </c>
      <c r="J262">
        <f>IF($A262&gt;TODAY(),"",SUMIFS(Customer_Care_Tbl[Close - مغلق],Customer_Care_Tbl[Date - التاريخ],$A262))</f>
        <v/>
      </c>
    </row>
    <row r="263">
      <c r="A263">
        <f>A262+1</f>
        <v/>
      </c>
      <c r="B263">
        <f>IF($A263&gt;TODAY(),"",IFERROR(INDEX(Credit_KPIs_Tbl[Total Financing Amount],MATCH($A263,Credit_KPIs_Tbl[Date - التاريخ],0)),""))</f>
        <v/>
      </c>
      <c r="C263">
        <f>IF($A263&gt;TODAY(),"",IFERROR(INDEX(Credit_KPIs_Tbl[Today Financing Amount],MATCH($A263,Credit_KPIs_Tbl[Date - التاريخ],0)),""))</f>
        <v/>
      </c>
      <c r="D263">
        <f>IF($A263&gt;TODAY(),"",IFERROR(INDEX(Credit_KPIs_Tbl[Total Number Contracts],MATCH($A263,Credit_KPIs_Tbl[Date - التاريخ],0)),""))</f>
        <v/>
      </c>
      <c r="E263">
        <f>IF($A263&gt;TODAY(),"",IFERROR(INDEX(Credit_KPIs_Tbl[Cancelled],MATCH($A263,Credit_KPIs_Tbl[Date - التاريخ],0)),""))</f>
        <v/>
      </c>
      <c r="F263">
        <f>IF($A263&gt;TODAY(),"",SUMIFS(Collection_Summary_Tbl[Amount - المبلغ],Collection_Summary_Tbl[Item - البند],"الاجمالي",Collection_Summary_Tbl[Date To - الى],$A263))</f>
        <v/>
      </c>
      <c r="G263">
        <f>IF($A263&gt;TODAY(),"",SUMIFS(Sales_Tbl[Count - العدد],Sales_Tbl[Date - التاريخ],$A263))</f>
        <v/>
      </c>
      <c r="H263">
        <f>IF($A263&gt;TODAY(),"",SUMIFS(Sales_Tbl[Count - العدد],Sales_Tbl[Status - الحالة],"Accepted - تم التنفيذ",Sales_Tbl[Date - التاريخ],$A263))</f>
        <v/>
      </c>
      <c r="I263">
        <f>IF($A263&gt;TODAY(),"",SUMIFS(Customer_Care_Tbl[Active - نشط],Customer_Care_Tbl[Date - التاريخ],$A263))</f>
        <v/>
      </c>
      <c r="J263">
        <f>IF($A263&gt;TODAY(),"",SUMIFS(Customer_Care_Tbl[Close - مغلق],Customer_Care_Tbl[Date - التاريخ],$A263))</f>
        <v/>
      </c>
    </row>
    <row r="264">
      <c r="A264">
        <f>A263+1</f>
        <v/>
      </c>
      <c r="B264">
        <f>IF($A264&gt;TODAY(),"",IFERROR(INDEX(Credit_KPIs_Tbl[Total Financing Amount],MATCH($A264,Credit_KPIs_Tbl[Date - التاريخ],0)),""))</f>
        <v/>
      </c>
      <c r="C264">
        <f>IF($A264&gt;TODAY(),"",IFERROR(INDEX(Credit_KPIs_Tbl[Today Financing Amount],MATCH($A264,Credit_KPIs_Tbl[Date - التاريخ],0)),""))</f>
        <v/>
      </c>
      <c r="D264">
        <f>IF($A264&gt;TODAY(),"",IFERROR(INDEX(Credit_KPIs_Tbl[Total Number Contracts],MATCH($A264,Credit_KPIs_Tbl[Date - التاريخ],0)),""))</f>
        <v/>
      </c>
      <c r="E264">
        <f>IF($A264&gt;TODAY(),"",IFERROR(INDEX(Credit_KPIs_Tbl[Cancelled],MATCH($A264,Credit_KPIs_Tbl[Date - التاريخ],0)),""))</f>
        <v/>
      </c>
      <c r="F264">
        <f>IF($A264&gt;TODAY(),"",SUMIFS(Collection_Summary_Tbl[Amount - المبلغ],Collection_Summary_Tbl[Item - البند],"الاجمالي",Collection_Summary_Tbl[Date To - الى],$A264))</f>
        <v/>
      </c>
      <c r="G264">
        <f>IF($A264&gt;TODAY(),"",SUMIFS(Sales_Tbl[Count - العدد],Sales_Tbl[Date - التاريخ],$A264))</f>
        <v/>
      </c>
      <c r="H264">
        <f>IF($A264&gt;TODAY(),"",SUMIFS(Sales_Tbl[Count - العدد],Sales_Tbl[Status - الحالة],"Accepted - تم التنفيذ",Sales_Tbl[Date - التاريخ],$A264))</f>
        <v/>
      </c>
      <c r="I264">
        <f>IF($A264&gt;TODAY(),"",SUMIFS(Customer_Care_Tbl[Active - نشط],Customer_Care_Tbl[Date - التاريخ],$A264))</f>
        <v/>
      </c>
      <c r="J264">
        <f>IF($A264&gt;TODAY(),"",SUMIFS(Customer_Care_Tbl[Close - مغلق],Customer_Care_Tbl[Date - التاريخ],$A264))</f>
        <v/>
      </c>
    </row>
    <row r="265">
      <c r="A265">
        <f>A264+1</f>
        <v/>
      </c>
      <c r="B265">
        <f>IF($A265&gt;TODAY(),"",IFERROR(INDEX(Credit_KPIs_Tbl[Total Financing Amount],MATCH($A265,Credit_KPIs_Tbl[Date - التاريخ],0)),""))</f>
        <v/>
      </c>
      <c r="C265">
        <f>IF($A265&gt;TODAY(),"",IFERROR(INDEX(Credit_KPIs_Tbl[Today Financing Amount],MATCH($A265,Credit_KPIs_Tbl[Date - التاريخ],0)),""))</f>
        <v/>
      </c>
      <c r="D265">
        <f>IF($A265&gt;TODAY(),"",IFERROR(INDEX(Credit_KPIs_Tbl[Total Number Contracts],MATCH($A265,Credit_KPIs_Tbl[Date - التاريخ],0)),""))</f>
        <v/>
      </c>
      <c r="E265">
        <f>IF($A265&gt;TODAY(),"",IFERROR(INDEX(Credit_KPIs_Tbl[Cancelled],MATCH($A265,Credit_KPIs_Tbl[Date - التاريخ],0)),""))</f>
        <v/>
      </c>
      <c r="F265">
        <f>IF($A265&gt;TODAY(),"",SUMIFS(Collection_Summary_Tbl[Amount - المبلغ],Collection_Summary_Tbl[Item - البند],"الاجمالي",Collection_Summary_Tbl[Date To - الى],$A265))</f>
        <v/>
      </c>
      <c r="G265">
        <f>IF($A265&gt;TODAY(),"",SUMIFS(Sales_Tbl[Count - العدد],Sales_Tbl[Date - التاريخ],$A265))</f>
        <v/>
      </c>
      <c r="H265">
        <f>IF($A265&gt;TODAY(),"",SUMIFS(Sales_Tbl[Count - العدد],Sales_Tbl[Status - الحالة],"Accepted - تم التنفيذ",Sales_Tbl[Date - التاريخ],$A265))</f>
        <v/>
      </c>
      <c r="I265">
        <f>IF($A265&gt;TODAY(),"",SUMIFS(Customer_Care_Tbl[Active - نشط],Customer_Care_Tbl[Date - التاريخ],$A265))</f>
        <v/>
      </c>
      <c r="J265">
        <f>IF($A265&gt;TODAY(),"",SUMIFS(Customer_Care_Tbl[Close - مغلق],Customer_Care_Tbl[Date - التاريخ],$A265))</f>
        <v/>
      </c>
    </row>
    <row r="266">
      <c r="A266">
        <f>A265+1</f>
        <v/>
      </c>
      <c r="B266">
        <f>IF($A266&gt;TODAY(),"",IFERROR(INDEX(Credit_KPIs_Tbl[Total Financing Amount],MATCH($A266,Credit_KPIs_Tbl[Date - التاريخ],0)),""))</f>
        <v/>
      </c>
      <c r="C266">
        <f>IF($A266&gt;TODAY(),"",IFERROR(INDEX(Credit_KPIs_Tbl[Today Financing Amount],MATCH($A266,Credit_KPIs_Tbl[Date - التاريخ],0)),""))</f>
        <v/>
      </c>
      <c r="D266">
        <f>IF($A266&gt;TODAY(),"",IFERROR(INDEX(Credit_KPIs_Tbl[Total Number Contracts],MATCH($A266,Credit_KPIs_Tbl[Date - التاريخ],0)),""))</f>
        <v/>
      </c>
      <c r="E266">
        <f>IF($A266&gt;TODAY(),"",IFERROR(INDEX(Credit_KPIs_Tbl[Cancelled],MATCH($A266,Credit_KPIs_Tbl[Date - التاريخ],0)),""))</f>
        <v/>
      </c>
      <c r="F266">
        <f>IF($A266&gt;TODAY(),"",SUMIFS(Collection_Summary_Tbl[Amount - المبلغ],Collection_Summary_Tbl[Item - البند],"الاجمالي",Collection_Summary_Tbl[Date To - الى],$A266))</f>
        <v/>
      </c>
      <c r="G266">
        <f>IF($A266&gt;TODAY(),"",SUMIFS(Sales_Tbl[Count - العدد],Sales_Tbl[Date - التاريخ],$A266))</f>
        <v/>
      </c>
      <c r="H266">
        <f>IF($A266&gt;TODAY(),"",SUMIFS(Sales_Tbl[Count - العدد],Sales_Tbl[Status - الحالة],"Accepted - تم التنفيذ",Sales_Tbl[Date - التاريخ],$A266))</f>
        <v/>
      </c>
      <c r="I266">
        <f>IF($A266&gt;TODAY(),"",SUMIFS(Customer_Care_Tbl[Active - نشط],Customer_Care_Tbl[Date - التاريخ],$A266))</f>
        <v/>
      </c>
      <c r="J266">
        <f>IF($A266&gt;TODAY(),"",SUMIFS(Customer_Care_Tbl[Close - مغلق],Customer_Care_Tbl[Date - التاريخ],$A266))</f>
        <v/>
      </c>
    </row>
    <row r="267">
      <c r="A267">
        <f>A266+1</f>
        <v/>
      </c>
      <c r="B267">
        <f>IF($A267&gt;TODAY(),"",IFERROR(INDEX(Credit_KPIs_Tbl[Total Financing Amount],MATCH($A267,Credit_KPIs_Tbl[Date - التاريخ],0)),""))</f>
        <v/>
      </c>
      <c r="C267">
        <f>IF($A267&gt;TODAY(),"",IFERROR(INDEX(Credit_KPIs_Tbl[Today Financing Amount],MATCH($A267,Credit_KPIs_Tbl[Date - التاريخ],0)),""))</f>
        <v/>
      </c>
      <c r="D267">
        <f>IF($A267&gt;TODAY(),"",IFERROR(INDEX(Credit_KPIs_Tbl[Total Number Contracts],MATCH($A267,Credit_KPIs_Tbl[Date - التاريخ],0)),""))</f>
        <v/>
      </c>
      <c r="E267">
        <f>IF($A267&gt;TODAY(),"",IFERROR(INDEX(Credit_KPIs_Tbl[Cancelled],MATCH($A267,Credit_KPIs_Tbl[Date - التاريخ],0)),""))</f>
        <v/>
      </c>
      <c r="F267">
        <f>IF($A267&gt;TODAY(),"",SUMIFS(Collection_Summary_Tbl[Amount - المبلغ],Collection_Summary_Tbl[Item - البند],"الاجمالي",Collection_Summary_Tbl[Date To - الى],$A267))</f>
        <v/>
      </c>
      <c r="G267">
        <f>IF($A267&gt;TODAY(),"",SUMIFS(Sales_Tbl[Count - العدد],Sales_Tbl[Date - التاريخ],$A267))</f>
        <v/>
      </c>
      <c r="H267">
        <f>IF($A267&gt;TODAY(),"",SUMIFS(Sales_Tbl[Count - العدد],Sales_Tbl[Status - الحالة],"Accepted - تم التنفيذ",Sales_Tbl[Date - التاريخ],$A267))</f>
        <v/>
      </c>
      <c r="I267">
        <f>IF($A267&gt;TODAY(),"",SUMIFS(Customer_Care_Tbl[Active - نشط],Customer_Care_Tbl[Date - التاريخ],$A267))</f>
        <v/>
      </c>
      <c r="J267">
        <f>IF($A267&gt;TODAY(),"",SUMIFS(Customer_Care_Tbl[Close - مغلق],Customer_Care_Tbl[Date - التاريخ],$A267))</f>
        <v/>
      </c>
    </row>
    <row r="268">
      <c r="A268">
        <f>A267+1</f>
        <v/>
      </c>
      <c r="B268">
        <f>IF($A268&gt;TODAY(),"",IFERROR(INDEX(Credit_KPIs_Tbl[Total Financing Amount],MATCH($A268,Credit_KPIs_Tbl[Date - التاريخ],0)),""))</f>
        <v/>
      </c>
      <c r="C268">
        <f>IF($A268&gt;TODAY(),"",IFERROR(INDEX(Credit_KPIs_Tbl[Today Financing Amount],MATCH($A268,Credit_KPIs_Tbl[Date - التاريخ],0)),""))</f>
        <v/>
      </c>
      <c r="D268">
        <f>IF($A268&gt;TODAY(),"",IFERROR(INDEX(Credit_KPIs_Tbl[Total Number Contracts],MATCH($A268,Credit_KPIs_Tbl[Date - التاريخ],0)),""))</f>
        <v/>
      </c>
      <c r="E268">
        <f>IF($A268&gt;TODAY(),"",IFERROR(INDEX(Credit_KPIs_Tbl[Cancelled],MATCH($A268,Credit_KPIs_Tbl[Date - التاريخ],0)),""))</f>
        <v/>
      </c>
      <c r="F268">
        <f>IF($A268&gt;TODAY(),"",SUMIFS(Collection_Summary_Tbl[Amount - المبلغ],Collection_Summary_Tbl[Item - البند],"الاجمالي",Collection_Summary_Tbl[Date To - الى],$A268))</f>
        <v/>
      </c>
      <c r="G268">
        <f>IF($A268&gt;TODAY(),"",SUMIFS(Sales_Tbl[Count - العدد],Sales_Tbl[Date - التاريخ],$A268))</f>
        <v/>
      </c>
      <c r="H268">
        <f>IF($A268&gt;TODAY(),"",SUMIFS(Sales_Tbl[Count - العدد],Sales_Tbl[Status - الحالة],"Accepted - تم التنفيذ",Sales_Tbl[Date - التاريخ],$A268))</f>
        <v/>
      </c>
      <c r="I268">
        <f>IF($A268&gt;TODAY(),"",SUMIFS(Customer_Care_Tbl[Active - نشط],Customer_Care_Tbl[Date - التاريخ],$A268))</f>
        <v/>
      </c>
      <c r="J268">
        <f>IF($A268&gt;TODAY(),"",SUMIFS(Customer_Care_Tbl[Close - مغلق],Customer_Care_Tbl[Date - التاريخ],$A268))</f>
        <v/>
      </c>
    </row>
    <row r="269">
      <c r="A269">
        <f>A268+1</f>
        <v/>
      </c>
      <c r="B269">
        <f>IF($A269&gt;TODAY(),"",IFERROR(INDEX(Credit_KPIs_Tbl[Total Financing Amount],MATCH($A269,Credit_KPIs_Tbl[Date - التاريخ],0)),""))</f>
        <v/>
      </c>
      <c r="C269">
        <f>IF($A269&gt;TODAY(),"",IFERROR(INDEX(Credit_KPIs_Tbl[Today Financing Amount],MATCH($A269,Credit_KPIs_Tbl[Date - التاريخ],0)),""))</f>
        <v/>
      </c>
      <c r="D269">
        <f>IF($A269&gt;TODAY(),"",IFERROR(INDEX(Credit_KPIs_Tbl[Total Number Contracts],MATCH($A269,Credit_KPIs_Tbl[Date - التاريخ],0)),""))</f>
        <v/>
      </c>
      <c r="E269">
        <f>IF($A269&gt;TODAY(),"",IFERROR(INDEX(Credit_KPIs_Tbl[Cancelled],MATCH($A269,Credit_KPIs_Tbl[Date - التاريخ],0)),""))</f>
        <v/>
      </c>
      <c r="F269">
        <f>IF($A269&gt;TODAY(),"",SUMIFS(Collection_Summary_Tbl[Amount - المبلغ],Collection_Summary_Tbl[Item - البند],"الاجمالي",Collection_Summary_Tbl[Date To - الى],$A269))</f>
        <v/>
      </c>
      <c r="G269">
        <f>IF($A269&gt;TODAY(),"",SUMIFS(Sales_Tbl[Count - العدد],Sales_Tbl[Date - التاريخ],$A269))</f>
        <v/>
      </c>
      <c r="H269">
        <f>IF($A269&gt;TODAY(),"",SUMIFS(Sales_Tbl[Count - العدد],Sales_Tbl[Status - الحالة],"Accepted - تم التنفيذ",Sales_Tbl[Date - التاريخ],$A269))</f>
        <v/>
      </c>
      <c r="I269">
        <f>IF($A269&gt;TODAY(),"",SUMIFS(Customer_Care_Tbl[Active - نشط],Customer_Care_Tbl[Date - التاريخ],$A269))</f>
        <v/>
      </c>
      <c r="J269">
        <f>IF($A269&gt;TODAY(),"",SUMIFS(Customer_Care_Tbl[Close - مغلق],Customer_Care_Tbl[Date - التاريخ],$A269))</f>
        <v/>
      </c>
    </row>
    <row r="270">
      <c r="A270">
        <f>A269+1</f>
        <v/>
      </c>
      <c r="B270">
        <f>IF($A270&gt;TODAY(),"",IFERROR(INDEX(Credit_KPIs_Tbl[Total Financing Amount],MATCH($A270,Credit_KPIs_Tbl[Date - التاريخ],0)),""))</f>
        <v/>
      </c>
      <c r="C270">
        <f>IF($A270&gt;TODAY(),"",IFERROR(INDEX(Credit_KPIs_Tbl[Today Financing Amount],MATCH($A270,Credit_KPIs_Tbl[Date - التاريخ],0)),""))</f>
        <v/>
      </c>
      <c r="D270">
        <f>IF($A270&gt;TODAY(),"",IFERROR(INDEX(Credit_KPIs_Tbl[Total Number Contracts],MATCH($A270,Credit_KPIs_Tbl[Date - التاريخ],0)),""))</f>
        <v/>
      </c>
      <c r="E270">
        <f>IF($A270&gt;TODAY(),"",IFERROR(INDEX(Credit_KPIs_Tbl[Cancelled],MATCH($A270,Credit_KPIs_Tbl[Date - التاريخ],0)),""))</f>
        <v/>
      </c>
      <c r="F270">
        <f>IF($A270&gt;TODAY(),"",SUMIFS(Collection_Summary_Tbl[Amount - المبلغ],Collection_Summary_Tbl[Item - البند],"الاجمالي",Collection_Summary_Tbl[Date To - الى],$A270))</f>
        <v/>
      </c>
      <c r="G270">
        <f>IF($A270&gt;TODAY(),"",SUMIFS(Sales_Tbl[Count - العدد],Sales_Tbl[Date - التاريخ],$A270))</f>
        <v/>
      </c>
      <c r="H270">
        <f>IF($A270&gt;TODAY(),"",SUMIFS(Sales_Tbl[Count - العدد],Sales_Tbl[Status - الحالة],"Accepted - تم التنفيذ",Sales_Tbl[Date - التاريخ],$A270))</f>
        <v/>
      </c>
      <c r="I270">
        <f>IF($A270&gt;TODAY(),"",SUMIFS(Customer_Care_Tbl[Active - نشط],Customer_Care_Tbl[Date - التاريخ],$A270))</f>
        <v/>
      </c>
      <c r="J270">
        <f>IF($A270&gt;TODAY(),"",SUMIFS(Customer_Care_Tbl[Close - مغلق],Customer_Care_Tbl[Date - التاريخ],$A270))</f>
        <v/>
      </c>
    </row>
    <row r="271">
      <c r="A271">
        <f>A270+1</f>
        <v/>
      </c>
      <c r="B271">
        <f>IF($A271&gt;TODAY(),"",IFERROR(INDEX(Credit_KPIs_Tbl[Total Financing Amount],MATCH($A271,Credit_KPIs_Tbl[Date - التاريخ],0)),""))</f>
        <v/>
      </c>
      <c r="C271">
        <f>IF($A271&gt;TODAY(),"",IFERROR(INDEX(Credit_KPIs_Tbl[Today Financing Amount],MATCH($A271,Credit_KPIs_Tbl[Date - التاريخ],0)),""))</f>
        <v/>
      </c>
      <c r="D271">
        <f>IF($A271&gt;TODAY(),"",IFERROR(INDEX(Credit_KPIs_Tbl[Total Number Contracts],MATCH($A271,Credit_KPIs_Tbl[Date - التاريخ],0)),""))</f>
        <v/>
      </c>
      <c r="E271">
        <f>IF($A271&gt;TODAY(),"",IFERROR(INDEX(Credit_KPIs_Tbl[Cancelled],MATCH($A271,Credit_KPIs_Tbl[Date - التاريخ],0)),""))</f>
        <v/>
      </c>
      <c r="F271">
        <f>IF($A271&gt;TODAY(),"",SUMIFS(Collection_Summary_Tbl[Amount - المبلغ],Collection_Summary_Tbl[Item - البند],"الاجمالي",Collection_Summary_Tbl[Date To - الى],$A271))</f>
        <v/>
      </c>
      <c r="G271">
        <f>IF($A271&gt;TODAY(),"",SUMIFS(Sales_Tbl[Count - العدد],Sales_Tbl[Date - التاريخ],$A271))</f>
        <v/>
      </c>
      <c r="H271">
        <f>IF($A271&gt;TODAY(),"",SUMIFS(Sales_Tbl[Count - العدد],Sales_Tbl[Status - الحالة],"Accepted - تم التنفيذ",Sales_Tbl[Date - التاريخ],$A271))</f>
        <v/>
      </c>
      <c r="I271">
        <f>IF($A271&gt;TODAY(),"",SUMIFS(Customer_Care_Tbl[Active - نشط],Customer_Care_Tbl[Date - التاريخ],$A271))</f>
        <v/>
      </c>
      <c r="J271">
        <f>IF($A271&gt;TODAY(),"",SUMIFS(Customer_Care_Tbl[Close - مغلق],Customer_Care_Tbl[Date - التاريخ],$A271))</f>
        <v/>
      </c>
    </row>
    <row r="272">
      <c r="A272">
        <f>A271+1</f>
        <v/>
      </c>
      <c r="B272">
        <f>IF($A272&gt;TODAY(),"",IFERROR(INDEX(Credit_KPIs_Tbl[Total Financing Amount],MATCH($A272,Credit_KPIs_Tbl[Date - التاريخ],0)),""))</f>
        <v/>
      </c>
      <c r="C272">
        <f>IF($A272&gt;TODAY(),"",IFERROR(INDEX(Credit_KPIs_Tbl[Today Financing Amount],MATCH($A272,Credit_KPIs_Tbl[Date - التاريخ],0)),""))</f>
        <v/>
      </c>
      <c r="D272">
        <f>IF($A272&gt;TODAY(),"",IFERROR(INDEX(Credit_KPIs_Tbl[Total Number Contracts],MATCH($A272,Credit_KPIs_Tbl[Date - التاريخ],0)),""))</f>
        <v/>
      </c>
      <c r="E272">
        <f>IF($A272&gt;TODAY(),"",IFERROR(INDEX(Credit_KPIs_Tbl[Cancelled],MATCH($A272,Credit_KPIs_Tbl[Date - التاريخ],0)),""))</f>
        <v/>
      </c>
      <c r="F272">
        <f>IF($A272&gt;TODAY(),"",SUMIFS(Collection_Summary_Tbl[Amount - المبلغ],Collection_Summary_Tbl[Item - البند],"الاجمالي",Collection_Summary_Tbl[Date To - الى],$A272))</f>
        <v/>
      </c>
      <c r="G272">
        <f>IF($A272&gt;TODAY(),"",SUMIFS(Sales_Tbl[Count - العدد],Sales_Tbl[Date - التاريخ],$A272))</f>
        <v/>
      </c>
      <c r="H272">
        <f>IF($A272&gt;TODAY(),"",SUMIFS(Sales_Tbl[Count - العدد],Sales_Tbl[Status - الحالة],"Accepted - تم التنفيذ",Sales_Tbl[Date - التاريخ],$A272))</f>
        <v/>
      </c>
      <c r="I272">
        <f>IF($A272&gt;TODAY(),"",SUMIFS(Customer_Care_Tbl[Active - نشط],Customer_Care_Tbl[Date - التاريخ],$A272))</f>
        <v/>
      </c>
      <c r="J272">
        <f>IF($A272&gt;TODAY(),"",SUMIFS(Customer_Care_Tbl[Close - مغلق],Customer_Care_Tbl[Date - التاريخ],$A272))</f>
        <v/>
      </c>
    </row>
    <row r="273">
      <c r="A273">
        <f>A272+1</f>
        <v/>
      </c>
      <c r="B273">
        <f>IF($A273&gt;TODAY(),"",IFERROR(INDEX(Credit_KPIs_Tbl[Total Financing Amount],MATCH($A273,Credit_KPIs_Tbl[Date - التاريخ],0)),""))</f>
        <v/>
      </c>
      <c r="C273">
        <f>IF($A273&gt;TODAY(),"",IFERROR(INDEX(Credit_KPIs_Tbl[Today Financing Amount],MATCH($A273,Credit_KPIs_Tbl[Date - التاريخ],0)),""))</f>
        <v/>
      </c>
      <c r="D273">
        <f>IF($A273&gt;TODAY(),"",IFERROR(INDEX(Credit_KPIs_Tbl[Total Number Contracts],MATCH($A273,Credit_KPIs_Tbl[Date - التاريخ],0)),""))</f>
        <v/>
      </c>
      <c r="E273">
        <f>IF($A273&gt;TODAY(),"",IFERROR(INDEX(Credit_KPIs_Tbl[Cancelled],MATCH($A273,Credit_KPIs_Tbl[Date - التاريخ],0)),""))</f>
        <v/>
      </c>
      <c r="F273">
        <f>IF($A273&gt;TODAY(),"",SUMIFS(Collection_Summary_Tbl[Amount - المبلغ],Collection_Summary_Tbl[Item - البند],"الاجمالي",Collection_Summary_Tbl[Date To - الى],$A273))</f>
        <v/>
      </c>
      <c r="G273">
        <f>IF($A273&gt;TODAY(),"",SUMIFS(Sales_Tbl[Count - العدد],Sales_Tbl[Date - التاريخ],$A273))</f>
        <v/>
      </c>
      <c r="H273">
        <f>IF($A273&gt;TODAY(),"",SUMIFS(Sales_Tbl[Count - العدد],Sales_Tbl[Status - الحالة],"Accepted - تم التنفيذ",Sales_Tbl[Date - التاريخ],$A273))</f>
        <v/>
      </c>
      <c r="I273">
        <f>IF($A273&gt;TODAY(),"",SUMIFS(Customer_Care_Tbl[Active - نشط],Customer_Care_Tbl[Date - التاريخ],$A273))</f>
        <v/>
      </c>
      <c r="J273">
        <f>IF($A273&gt;TODAY(),"",SUMIFS(Customer_Care_Tbl[Close - مغلق],Customer_Care_Tbl[Date - التاريخ],$A273))</f>
        <v/>
      </c>
    </row>
    <row r="274">
      <c r="A274">
        <f>A273+1</f>
        <v/>
      </c>
      <c r="B274">
        <f>IF($A274&gt;TODAY(),"",IFERROR(INDEX(Credit_KPIs_Tbl[Total Financing Amount],MATCH($A274,Credit_KPIs_Tbl[Date - التاريخ],0)),""))</f>
        <v/>
      </c>
      <c r="C274">
        <f>IF($A274&gt;TODAY(),"",IFERROR(INDEX(Credit_KPIs_Tbl[Today Financing Amount],MATCH($A274,Credit_KPIs_Tbl[Date - التاريخ],0)),""))</f>
        <v/>
      </c>
      <c r="D274">
        <f>IF($A274&gt;TODAY(),"",IFERROR(INDEX(Credit_KPIs_Tbl[Total Number Contracts],MATCH($A274,Credit_KPIs_Tbl[Date - التاريخ],0)),""))</f>
        <v/>
      </c>
      <c r="E274">
        <f>IF($A274&gt;TODAY(),"",IFERROR(INDEX(Credit_KPIs_Tbl[Cancelled],MATCH($A274,Credit_KPIs_Tbl[Date - التاريخ],0)),""))</f>
        <v/>
      </c>
      <c r="F274">
        <f>IF($A274&gt;TODAY(),"",SUMIFS(Collection_Summary_Tbl[Amount - المبلغ],Collection_Summary_Tbl[Item - البند],"الاجمالي",Collection_Summary_Tbl[Date To - الى],$A274))</f>
        <v/>
      </c>
      <c r="G274">
        <f>IF($A274&gt;TODAY(),"",SUMIFS(Sales_Tbl[Count - العدد],Sales_Tbl[Date - التاريخ],$A274))</f>
        <v/>
      </c>
      <c r="H274">
        <f>IF($A274&gt;TODAY(),"",SUMIFS(Sales_Tbl[Count - العدد],Sales_Tbl[Status - الحالة],"Accepted - تم التنفيذ",Sales_Tbl[Date - التاريخ],$A274))</f>
        <v/>
      </c>
      <c r="I274">
        <f>IF($A274&gt;TODAY(),"",SUMIFS(Customer_Care_Tbl[Active - نشط],Customer_Care_Tbl[Date - التاريخ],$A274))</f>
        <v/>
      </c>
      <c r="J274">
        <f>IF($A274&gt;TODAY(),"",SUMIFS(Customer_Care_Tbl[Close - مغلق],Customer_Care_Tbl[Date - التاريخ],$A274))</f>
        <v/>
      </c>
    </row>
    <row r="275">
      <c r="A275">
        <f>A274+1</f>
        <v/>
      </c>
      <c r="B275">
        <f>IF($A275&gt;TODAY(),"",IFERROR(INDEX(Credit_KPIs_Tbl[Total Financing Amount],MATCH($A275,Credit_KPIs_Tbl[Date - التاريخ],0)),""))</f>
        <v/>
      </c>
      <c r="C275">
        <f>IF($A275&gt;TODAY(),"",IFERROR(INDEX(Credit_KPIs_Tbl[Today Financing Amount],MATCH($A275,Credit_KPIs_Tbl[Date - التاريخ],0)),""))</f>
        <v/>
      </c>
      <c r="D275">
        <f>IF($A275&gt;TODAY(),"",IFERROR(INDEX(Credit_KPIs_Tbl[Total Number Contracts],MATCH($A275,Credit_KPIs_Tbl[Date - التاريخ],0)),""))</f>
        <v/>
      </c>
      <c r="E275">
        <f>IF($A275&gt;TODAY(),"",IFERROR(INDEX(Credit_KPIs_Tbl[Cancelled],MATCH($A275,Credit_KPIs_Tbl[Date - التاريخ],0)),""))</f>
        <v/>
      </c>
      <c r="F275">
        <f>IF($A275&gt;TODAY(),"",SUMIFS(Collection_Summary_Tbl[Amount - المبلغ],Collection_Summary_Tbl[Item - البند],"الاجمالي",Collection_Summary_Tbl[Date To - الى],$A275))</f>
        <v/>
      </c>
      <c r="G275">
        <f>IF($A275&gt;TODAY(),"",SUMIFS(Sales_Tbl[Count - العدد],Sales_Tbl[Date - التاريخ],$A275))</f>
        <v/>
      </c>
      <c r="H275">
        <f>IF($A275&gt;TODAY(),"",SUMIFS(Sales_Tbl[Count - العدد],Sales_Tbl[Status - الحالة],"Accepted - تم التنفيذ",Sales_Tbl[Date - التاريخ],$A275))</f>
        <v/>
      </c>
      <c r="I275">
        <f>IF($A275&gt;TODAY(),"",SUMIFS(Customer_Care_Tbl[Active - نشط],Customer_Care_Tbl[Date - التاريخ],$A275))</f>
        <v/>
      </c>
      <c r="J275">
        <f>IF($A275&gt;TODAY(),"",SUMIFS(Customer_Care_Tbl[Close - مغلق],Customer_Care_Tbl[Date - التاريخ],$A275))</f>
        <v/>
      </c>
    </row>
    <row r="276">
      <c r="A276">
        <f>A275+1</f>
        <v/>
      </c>
      <c r="B276">
        <f>IF($A276&gt;TODAY(),"",IFERROR(INDEX(Credit_KPIs_Tbl[Total Financing Amount],MATCH($A276,Credit_KPIs_Tbl[Date - التاريخ],0)),""))</f>
        <v/>
      </c>
      <c r="C276">
        <f>IF($A276&gt;TODAY(),"",IFERROR(INDEX(Credit_KPIs_Tbl[Today Financing Amount],MATCH($A276,Credit_KPIs_Tbl[Date - التاريخ],0)),""))</f>
        <v/>
      </c>
      <c r="D276">
        <f>IF($A276&gt;TODAY(),"",IFERROR(INDEX(Credit_KPIs_Tbl[Total Number Contracts],MATCH($A276,Credit_KPIs_Tbl[Date - التاريخ],0)),""))</f>
        <v/>
      </c>
      <c r="E276">
        <f>IF($A276&gt;TODAY(),"",IFERROR(INDEX(Credit_KPIs_Tbl[Cancelled],MATCH($A276,Credit_KPIs_Tbl[Date - التاريخ],0)),""))</f>
        <v/>
      </c>
      <c r="F276">
        <f>IF($A276&gt;TODAY(),"",SUMIFS(Collection_Summary_Tbl[Amount - المبلغ],Collection_Summary_Tbl[Item - البند],"الاجمالي",Collection_Summary_Tbl[Date To - الى],$A276))</f>
        <v/>
      </c>
      <c r="G276">
        <f>IF($A276&gt;TODAY(),"",SUMIFS(Sales_Tbl[Count - العدد],Sales_Tbl[Date - التاريخ],$A276))</f>
        <v/>
      </c>
      <c r="H276">
        <f>IF($A276&gt;TODAY(),"",SUMIFS(Sales_Tbl[Count - العدد],Sales_Tbl[Status - الحالة],"Accepted - تم التنفيذ",Sales_Tbl[Date - التاريخ],$A276))</f>
        <v/>
      </c>
      <c r="I276">
        <f>IF($A276&gt;TODAY(),"",SUMIFS(Customer_Care_Tbl[Active - نشط],Customer_Care_Tbl[Date - التاريخ],$A276))</f>
        <v/>
      </c>
      <c r="J276">
        <f>IF($A276&gt;TODAY(),"",SUMIFS(Customer_Care_Tbl[Close - مغلق],Customer_Care_Tbl[Date - التاريخ],$A276))</f>
        <v/>
      </c>
    </row>
    <row r="277">
      <c r="A277">
        <f>A276+1</f>
        <v/>
      </c>
      <c r="B277">
        <f>IF($A277&gt;TODAY(),"",IFERROR(INDEX(Credit_KPIs_Tbl[Total Financing Amount],MATCH($A277,Credit_KPIs_Tbl[Date - التاريخ],0)),""))</f>
        <v/>
      </c>
      <c r="C277">
        <f>IF($A277&gt;TODAY(),"",IFERROR(INDEX(Credit_KPIs_Tbl[Today Financing Amount],MATCH($A277,Credit_KPIs_Tbl[Date - التاريخ],0)),""))</f>
        <v/>
      </c>
      <c r="D277">
        <f>IF($A277&gt;TODAY(),"",IFERROR(INDEX(Credit_KPIs_Tbl[Total Number Contracts],MATCH($A277,Credit_KPIs_Tbl[Date - التاريخ],0)),""))</f>
        <v/>
      </c>
      <c r="E277">
        <f>IF($A277&gt;TODAY(),"",IFERROR(INDEX(Credit_KPIs_Tbl[Cancelled],MATCH($A277,Credit_KPIs_Tbl[Date - التاريخ],0)),""))</f>
        <v/>
      </c>
      <c r="F277">
        <f>IF($A277&gt;TODAY(),"",SUMIFS(Collection_Summary_Tbl[Amount - المبلغ],Collection_Summary_Tbl[Item - البند],"الاجمالي",Collection_Summary_Tbl[Date To - الى],$A277))</f>
        <v/>
      </c>
      <c r="G277">
        <f>IF($A277&gt;TODAY(),"",SUMIFS(Sales_Tbl[Count - العدد],Sales_Tbl[Date - التاريخ],$A277))</f>
        <v/>
      </c>
      <c r="H277">
        <f>IF($A277&gt;TODAY(),"",SUMIFS(Sales_Tbl[Count - العدد],Sales_Tbl[Status - الحالة],"Accepted - تم التنفيذ",Sales_Tbl[Date - التاريخ],$A277))</f>
        <v/>
      </c>
      <c r="I277">
        <f>IF($A277&gt;TODAY(),"",SUMIFS(Customer_Care_Tbl[Active - نشط],Customer_Care_Tbl[Date - التاريخ],$A277))</f>
        <v/>
      </c>
      <c r="J277">
        <f>IF($A277&gt;TODAY(),"",SUMIFS(Customer_Care_Tbl[Close - مغلق],Customer_Care_Tbl[Date - التاريخ],$A277))</f>
        <v/>
      </c>
    </row>
    <row r="278">
      <c r="A278">
        <f>A277+1</f>
        <v/>
      </c>
      <c r="B278">
        <f>IF($A278&gt;TODAY(),"",IFERROR(INDEX(Credit_KPIs_Tbl[Total Financing Amount],MATCH($A278,Credit_KPIs_Tbl[Date - التاريخ],0)),""))</f>
        <v/>
      </c>
      <c r="C278">
        <f>IF($A278&gt;TODAY(),"",IFERROR(INDEX(Credit_KPIs_Tbl[Today Financing Amount],MATCH($A278,Credit_KPIs_Tbl[Date - التاريخ],0)),""))</f>
        <v/>
      </c>
      <c r="D278">
        <f>IF($A278&gt;TODAY(),"",IFERROR(INDEX(Credit_KPIs_Tbl[Total Number Contracts],MATCH($A278,Credit_KPIs_Tbl[Date - التاريخ],0)),""))</f>
        <v/>
      </c>
      <c r="E278">
        <f>IF($A278&gt;TODAY(),"",IFERROR(INDEX(Credit_KPIs_Tbl[Cancelled],MATCH($A278,Credit_KPIs_Tbl[Date - التاريخ],0)),""))</f>
        <v/>
      </c>
      <c r="F278">
        <f>IF($A278&gt;TODAY(),"",SUMIFS(Collection_Summary_Tbl[Amount - المبلغ],Collection_Summary_Tbl[Item - البند],"الاجمالي",Collection_Summary_Tbl[Date To - الى],$A278))</f>
        <v/>
      </c>
      <c r="G278">
        <f>IF($A278&gt;TODAY(),"",SUMIFS(Sales_Tbl[Count - العدد],Sales_Tbl[Date - التاريخ],$A278))</f>
        <v/>
      </c>
      <c r="H278">
        <f>IF($A278&gt;TODAY(),"",SUMIFS(Sales_Tbl[Count - العدد],Sales_Tbl[Status - الحالة],"Accepted - تم التنفيذ",Sales_Tbl[Date - التاريخ],$A278))</f>
        <v/>
      </c>
      <c r="I278">
        <f>IF($A278&gt;TODAY(),"",SUMIFS(Customer_Care_Tbl[Active - نشط],Customer_Care_Tbl[Date - التاريخ],$A278))</f>
        <v/>
      </c>
      <c r="J278">
        <f>IF($A278&gt;TODAY(),"",SUMIFS(Customer_Care_Tbl[Close - مغلق],Customer_Care_Tbl[Date - التاريخ],$A278))</f>
        <v/>
      </c>
    </row>
    <row r="279">
      <c r="A279">
        <f>A278+1</f>
        <v/>
      </c>
      <c r="B279">
        <f>IF($A279&gt;TODAY(),"",IFERROR(INDEX(Credit_KPIs_Tbl[Total Financing Amount],MATCH($A279,Credit_KPIs_Tbl[Date - التاريخ],0)),""))</f>
        <v/>
      </c>
      <c r="C279">
        <f>IF($A279&gt;TODAY(),"",IFERROR(INDEX(Credit_KPIs_Tbl[Today Financing Amount],MATCH($A279,Credit_KPIs_Tbl[Date - التاريخ],0)),""))</f>
        <v/>
      </c>
      <c r="D279">
        <f>IF($A279&gt;TODAY(),"",IFERROR(INDEX(Credit_KPIs_Tbl[Total Number Contracts],MATCH($A279,Credit_KPIs_Tbl[Date - التاريخ],0)),""))</f>
        <v/>
      </c>
      <c r="E279">
        <f>IF($A279&gt;TODAY(),"",IFERROR(INDEX(Credit_KPIs_Tbl[Cancelled],MATCH($A279,Credit_KPIs_Tbl[Date - التاريخ],0)),""))</f>
        <v/>
      </c>
      <c r="F279">
        <f>IF($A279&gt;TODAY(),"",SUMIFS(Collection_Summary_Tbl[Amount - المبلغ],Collection_Summary_Tbl[Item - البند],"الاجمالي",Collection_Summary_Tbl[Date To - الى],$A279))</f>
        <v/>
      </c>
      <c r="G279">
        <f>IF($A279&gt;TODAY(),"",SUMIFS(Sales_Tbl[Count - العدد],Sales_Tbl[Date - التاريخ],$A279))</f>
        <v/>
      </c>
      <c r="H279">
        <f>IF($A279&gt;TODAY(),"",SUMIFS(Sales_Tbl[Count - العدد],Sales_Tbl[Status - الحالة],"Accepted - تم التنفيذ",Sales_Tbl[Date - التاريخ],$A279))</f>
        <v/>
      </c>
      <c r="I279">
        <f>IF($A279&gt;TODAY(),"",SUMIFS(Customer_Care_Tbl[Active - نشط],Customer_Care_Tbl[Date - التاريخ],$A279))</f>
        <v/>
      </c>
      <c r="J279">
        <f>IF($A279&gt;TODAY(),"",SUMIFS(Customer_Care_Tbl[Close - مغلق],Customer_Care_Tbl[Date - التاريخ],$A279))</f>
        <v/>
      </c>
    </row>
    <row r="280">
      <c r="A280">
        <f>A279+1</f>
        <v/>
      </c>
      <c r="B280">
        <f>IF($A280&gt;TODAY(),"",IFERROR(INDEX(Credit_KPIs_Tbl[Total Financing Amount],MATCH($A280,Credit_KPIs_Tbl[Date - التاريخ],0)),""))</f>
        <v/>
      </c>
      <c r="C280">
        <f>IF($A280&gt;TODAY(),"",IFERROR(INDEX(Credit_KPIs_Tbl[Today Financing Amount],MATCH($A280,Credit_KPIs_Tbl[Date - التاريخ],0)),""))</f>
        <v/>
      </c>
      <c r="D280">
        <f>IF($A280&gt;TODAY(),"",IFERROR(INDEX(Credit_KPIs_Tbl[Total Number Contracts],MATCH($A280,Credit_KPIs_Tbl[Date - التاريخ],0)),""))</f>
        <v/>
      </c>
      <c r="E280">
        <f>IF($A280&gt;TODAY(),"",IFERROR(INDEX(Credit_KPIs_Tbl[Cancelled],MATCH($A280,Credit_KPIs_Tbl[Date - التاريخ],0)),""))</f>
        <v/>
      </c>
      <c r="F280">
        <f>IF($A280&gt;TODAY(),"",SUMIFS(Collection_Summary_Tbl[Amount - المبلغ],Collection_Summary_Tbl[Item - البند],"الاجمالي",Collection_Summary_Tbl[Date To - الى],$A280))</f>
        <v/>
      </c>
      <c r="G280">
        <f>IF($A280&gt;TODAY(),"",SUMIFS(Sales_Tbl[Count - العدد],Sales_Tbl[Date - التاريخ],$A280))</f>
        <v/>
      </c>
      <c r="H280">
        <f>IF($A280&gt;TODAY(),"",SUMIFS(Sales_Tbl[Count - العدد],Sales_Tbl[Status - الحالة],"Accepted - تم التنفيذ",Sales_Tbl[Date - التاريخ],$A280))</f>
        <v/>
      </c>
      <c r="I280">
        <f>IF($A280&gt;TODAY(),"",SUMIFS(Customer_Care_Tbl[Active - نشط],Customer_Care_Tbl[Date - التاريخ],$A280))</f>
        <v/>
      </c>
      <c r="J280">
        <f>IF($A280&gt;TODAY(),"",SUMIFS(Customer_Care_Tbl[Close - مغلق],Customer_Care_Tbl[Date - التاريخ],$A280))</f>
        <v/>
      </c>
    </row>
    <row r="281">
      <c r="A281">
        <f>A280+1</f>
        <v/>
      </c>
      <c r="B281">
        <f>IF($A281&gt;TODAY(),"",IFERROR(INDEX(Credit_KPIs_Tbl[Total Financing Amount],MATCH($A281,Credit_KPIs_Tbl[Date - التاريخ],0)),""))</f>
        <v/>
      </c>
      <c r="C281">
        <f>IF($A281&gt;TODAY(),"",IFERROR(INDEX(Credit_KPIs_Tbl[Today Financing Amount],MATCH($A281,Credit_KPIs_Tbl[Date - التاريخ],0)),""))</f>
        <v/>
      </c>
      <c r="D281">
        <f>IF($A281&gt;TODAY(),"",IFERROR(INDEX(Credit_KPIs_Tbl[Total Number Contracts],MATCH($A281,Credit_KPIs_Tbl[Date - التاريخ],0)),""))</f>
        <v/>
      </c>
      <c r="E281">
        <f>IF($A281&gt;TODAY(),"",IFERROR(INDEX(Credit_KPIs_Tbl[Cancelled],MATCH($A281,Credit_KPIs_Tbl[Date - التاريخ],0)),""))</f>
        <v/>
      </c>
      <c r="F281">
        <f>IF($A281&gt;TODAY(),"",SUMIFS(Collection_Summary_Tbl[Amount - المبلغ],Collection_Summary_Tbl[Item - البند],"الاجمالي",Collection_Summary_Tbl[Date To - الى],$A281))</f>
        <v/>
      </c>
      <c r="G281">
        <f>IF($A281&gt;TODAY(),"",SUMIFS(Sales_Tbl[Count - العدد],Sales_Tbl[Date - التاريخ],$A281))</f>
        <v/>
      </c>
      <c r="H281">
        <f>IF($A281&gt;TODAY(),"",SUMIFS(Sales_Tbl[Count - العدد],Sales_Tbl[Status - الحالة],"Accepted - تم التنفيذ",Sales_Tbl[Date - التاريخ],$A281))</f>
        <v/>
      </c>
      <c r="I281">
        <f>IF($A281&gt;TODAY(),"",SUMIFS(Customer_Care_Tbl[Active - نشط],Customer_Care_Tbl[Date - التاريخ],$A281))</f>
        <v/>
      </c>
      <c r="J281">
        <f>IF($A281&gt;TODAY(),"",SUMIFS(Customer_Care_Tbl[Close - مغلق],Customer_Care_Tbl[Date - التاريخ],$A281))</f>
        <v/>
      </c>
    </row>
    <row r="282">
      <c r="A282">
        <f>A281+1</f>
        <v/>
      </c>
      <c r="B282">
        <f>IF($A282&gt;TODAY(),"",IFERROR(INDEX(Credit_KPIs_Tbl[Total Financing Amount],MATCH($A282,Credit_KPIs_Tbl[Date - التاريخ],0)),""))</f>
        <v/>
      </c>
      <c r="C282">
        <f>IF($A282&gt;TODAY(),"",IFERROR(INDEX(Credit_KPIs_Tbl[Today Financing Amount],MATCH($A282,Credit_KPIs_Tbl[Date - التاريخ],0)),""))</f>
        <v/>
      </c>
      <c r="D282">
        <f>IF($A282&gt;TODAY(),"",IFERROR(INDEX(Credit_KPIs_Tbl[Total Number Contracts],MATCH($A282,Credit_KPIs_Tbl[Date - التاريخ],0)),""))</f>
        <v/>
      </c>
      <c r="E282">
        <f>IF($A282&gt;TODAY(),"",IFERROR(INDEX(Credit_KPIs_Tbl[Cancelled],MATCH($A282,Credit_KPIs_Tbl[Date - التاريخ],0)),""))</f>
        <v/>
      </c>
      <c r="F282">
        <f>IF($A282&gt;TODAY(),"",SUMIFS(Collection_Summary_Tbl[Amount - المبلغ],Collection_Summary_Tbl[Item - البند],"الاجمالي",Collection_Summary_Tbl[Date To - الى],$A282))</f>
        <v/>
      </c>
      <c r="G282">
        <f>IF($A282&gt;TODAY(),"",SUMIFS(Sales_Tbl[Count - العدد],Sales_Tbl[Date - التاريخ],$A282))</f>
        <v/>
      </c>
      <c r="H282">
        <f>IF($A282&gt;TODAY(),"",SUMIFS(Sales_Tbl[Count - العدد],Sales_Tbl[Status - الحالة],"Accepted - تم التنفيذ",Sales_Tbl[Date - التاريخ],$A282))</f>
        <v/>
      </c>
      <c r="I282">
        <f>IF($A282&gt;TODAY(),"",SUMIFS(Customer_Care_Tbl[Active - نشط],Customer_Care_Tbl[Date - التاريخ],$A282))</f>
        <v/>
      </c>
      <c r="J282">
        <f>IF($A282&gt;TODAY(),"",SUMIFS(Customer_Care_Tbl[Close - مغلق],Customer_Care_Tbl[Date - التاريخ],$A282))</f>
        <v/>
      </c>
    </row>
    <row r="283">
      <c r="A283">
        <f>A282+1</f>
        <v/>
      </c>
      <c r="B283">
        <f>IF($A283&gt;TODAY(),"",IFERROR(INDEX(Credit_KPIs_Tbl[Total Financing Amount],MATCH($A283,Credit_KPIs_Tbl[Date - التاريخ],0)),""))</f>
        <v/>
      </c>
      <c r="C283">
        <f>IF($A283&gt;TODAY(),"",IFERROR(INDEX(Credit_KPIs_Tbl[Today Financing Amount],MATCH($A283,Credit_KPIs_Tbl[Date - التاريخ],0)),""))</f>
        <v/>
      </c>
      <c r="D283">
        <f>IF($A283&gt;TODAY(),"",IFERROR(INDEX(Credit_KPIs_Tbl[Total Number Contracts],MATCH($A283,Credit_KPIs_Tbl[Date - التاريخ],0)),""))</f>
        <v/>
      </c>
      <c r="E283">
        <f>IF($A283&gt;TODAY(),"",IFERROR(INDEX(Credit_KPIs_Tbl[Cancelled],MATCH($A283,Credit_KPIs_Tbl[Date - التاريخ],0)),""))</f>
        <v/>
      </c>
      <c r="F283">
        <f>IF($A283&gt;TODAY(),"",SUMIFS(Collection_Summary_Tbl[Amount - المبلغ],Collection_Summary_Tbl[Item - البند],"الاجمالي",Collection_Summary_Tbl[Date To - الى],$A283))</f>
        <v/>
      </c>
      <c r="G283">
        <f>IF($A283&gt;TODAY(),"",SUMIFS(Sales_Tbl[Count - العدد],Sales_Tbl[Date - التاريخ],$A283))</f>
        <v/>
      </c>
      <c r="H283">
        <f>IF($A283&gt;TODAY(),"",SUMIFS(Sales_Tbl[Count - العدد],Sales_Tbl[Status - الحالة],"Accepted - تم التنفيذ",Sales_Tbl[Date - التاريخ],$A283))</f>
        <v/>
      </c>
      <c r="I283">
        <f>IF($A283&gt;TODAY(),"",SUMIFS(Customer_Care_Tbl[Active - نشط],Customer_Care_Tbl[Date - التاريخ],$A283))</f>
        <v/>
      </c>
      <c r="J283">
        <f>IF($A283&gt;TODAY(),"",SUMIFS(Customer_Care_Tbl[Close - مغلق],Customer_Care_Tbl[Date - التاريخ],$A283))</f>
        <v/>
      </c>
    </row>
    <row r="284">
      <c r="A284">
        <f>A283+1</f>
        <v/>
      </c>
      <c r="B284">
        <f>IF($A284&gt;TODAY(),"",IFERROR(INDEX(Credit_KPIs_Tbl[Total Financing Amount],MATCH($A284,Credit_KPIs_Tbl[Date - التاريخ],0)),""))</f>
        <v/>
      </c>
      <c r="C284">
        <f>IF($A284&gt;TODAY(),"",IFERROR(INDEX(Credit_KPIs_Tbl[Today Financing Amount],MATCH($A284,Credit_KPIs_Tbl[Date - التاريخ],0)),""))</f>
        <v/>
      </c>
      <c r="D284">
        <f>IF($A284&gt;TODAY(),"",IFERROR(INDEX(Credit_KPIs_Tbl[Total Number Contracts],MATCH($A284,Credit_KPIs_Tbl[Date - التاريخ],0)),""))</f>
        <v/>
      </c>
      <c r="E284">
        <f>IF($A284&gt;TODAY(),"",IFERROR(INDEX(Credit_KPIs_Tbl[Cancelled],MATCH($A284,Credit_KPIs_Tbl[Date - التاريخ],0)),""))</f>
        <v/>
      </c>
      <c r="F284">
        <f>IF($A284&gt;TODAY(),"",SUMIFS(Collection_Summary_Tbl[Amount - المبلغ],Collection_Summary_Tbl[Item - البند],"الاجمالي",Collection_Summary_Tbl[Date To - الى],$A284))</f>
        <v/>
      </c>
      <c r="G284">
        <f>IF($A284&gt;TODAY(),"",SUMIFS(Sales_Tbl[Count - العدد],Sales_Tbl[Date - التاريخ],$A284))</f>
        <v/>
      </c>
      <c r="H284">
        <f>IF($A284&gt;TODAY(),"",SUMIFS(Sales_Tbl[Count - العدد],Sales_Tbl[Status - الحالة],"Accepted - تم التنفيذ",Sales_Tbl[Date - التاريخ],$A284))</f>
        <v/>
      </c>
      <c r="I284">
        <f>IF($A284&gt;TODAY(),"",SUMIFS(Customer_Care_Tbl[Active - نشط],Customer_Care_Tbl[Date - التاريخ],$A284))</f>
        <v/>
      </c>
      <c r="J284">
        <f>IF($A284&gt;TODAY(),"",SUMIFS(Customer_Care_Tbl[Close - مغلق],Customer_Care_Tbl[Date - التاريخ],$A284))</f>
        <v/>
      </c>
    </row>
    <row r="285">
      <c r="A285">
        <f>A284+1</f>
        <v/>
      </c>
      <c r="B285">
        <f>IF($A285&gt;TODAY(),"",IFERROR(INDEX(Credit_KPIs_Tbl[Total Financing Amount],MATCH($A285,Credit_KPIs_Tbl[Date - التاريخ],0)),""))</f>
        <v/>
      </c>
      <c r="C285">
        <f>IF($A285&gt;TODAY(),"",IFERROR(INDEX(Credit_KPIs_Tbl[Today Financing Amount],MATCH($A285,Credit_KPIs_Tbl[Date - التاريخ],0)),""))</f>
        <v/>
      </c>
      <c r="D285">
        <f>IF($A285&gt;TODAY(),"",IFERROR(INDEX(Credit_KPIs_Tbl[Total Number Contracts],MATCH($A285,Credit_KPIs_Tbl[Date - التاريخ],0)),""))</f>
        <v/>
      </c>
      <c r="E285">
        <f>IF($A285&gt;TODAY(),"",IFERROR(INDEX(Credit_KPIs_Tbl[Cancelled],MATCH($A285,Credit_KPIs_Tbl[Date - التاريخ],0)),""))</f>
        <v/>
      </c>
      <c r="F285">
        <f>IF($A285&gt;TODAY(),"",SUMIFS(Collection_Summary_Tbl[Amount - المبلغ],Collection_Summary_Tbl[Item - البند],"الاجمالي",Collection_Summary_Tbl[Date To - الى],$A285))</f>
        <v/>
      </c>
      <c r="G285">
        <f>IF($A285&gt;TODAY(),"",SUMIFS(Sales_Tbl[Count - العدد],Sales_Tbl[Date - التاريخ],$A285))</f>
        <v/>
      </c>
      <c r="H285">
        <f>IF($A285&gt;TODAY(),"",SUMIFS(Sales_Tbl[Count - العدد],Sales_Tbl[Status - الحالة],"Accepted - تم التنفيذ",Sales_Tbl[Date - التاريخ],$A285))</f>
        <v/>
      </c>
      <c r="I285">
        <f>IF($A285&gt;TODAY(),"",SUMIFS(Customer_Care_Tbl[Active - نشط],Customer_Care_Tbl[Date - التاريخ],$A285))</f>
        <v/>
      </c>
      <c r="J285">
        <f>IF($A285&gt;TODAY(),"",SUMIFS(Customer_Care_Tbl[Close - مغلق],Customer_Care_Tbl[Date - التاريخ],$A285))</f>
        <v/>
      </c>
    </row>
    <row r="286">
      <c r="A286">
        <f>A285+1</f>
        <v/>
      </c>
      <c r="B286">
        <f>IF($A286&gt;TODAY(),"",IFERROR(INDEX(Credit_KPIs_Tbl[Total Financing Amount],MATCH($A286,Credit_KPIs_Tbl[Date - التاريخ],0)),""))</f>
        <v/>
      </c>
      <c r="C286">
        <f>IF($A286&gt;TODAY(),"",IFERROR(INDEX(Credit_KPIs_Tbl[Today Financing Amount],MATCH($A286,Credit_KPIs_Tbl[Date - التاريخ],0)),""))</f>
        <v/>
      </c>
      <c r="D286">
        <f>IF($A286&gt;TODAY(),"",IFERROR(INDEX(Credit_KPIs_Tbl[Total Number Contracts],MATCH($A286,Credit_KPIs_Tbl[Date - التاريخ],0)),""))</f>
        <v/>
      </c>
      <c r="E286">
        <f>IF($A286&gt;TODAY(),"",IFERROR(INDEX(Credit_KPIs_Tbl[Cancelled],MATCH($A286,Credit_KPIs_Tbl[Date - التاريخ],0)),""))</f>
        <v/>
      </c>
      <c r="F286">
        <f>IF($A286&gt;TODAY(),"",SUMIFS(Collection_Summary_Tbl[Amount - المبلغ],Collection_Summary_Tbl[Item - البند],"الاجمالي",Collection_Summary_Tbl[Date To - الى],$A286))</f>
        <v/>
      </c>
      <c r="G286">
        <f>IF($A286&gt;TODAY(),"",SUMIFS(Sales_Tbl[Count - العدد],Sales_Tbl[Date - التاريخ],$A286))</f>
        <v/>
      </c>
      <c r="H286">
        <f>IF($A286&gt;TODAY(),"",SUMIFS(Sales_Tbl[Count - العدد],Sales_Tbl[Status - الحالة],"Accepted - تم التنفيذ",Sales_Tbl[Date - التاريخ],$A286))</f>
        <v/>
      </c>
      <c r="I286">
        <f>IF($A286&gt;TODAY(),"",SUMIFS(Customer_Care_Tbl[Active - نشط],Customer_Care_Tbl[Date - التاريخ],$A286))</f>
        <v/>
      </c>
      <c r="J286">
        <f>IF($A286&gt;TODAY(),"",SUMIFS(Customer_Care_Tbl[Close - مغلق],Customer_Care_Tbl[Date - التاريخ],$A286))</f>
        <v/>
      </c>
    </row>
    <row r="287">
      <c r="A287">
        <f>A286+1</f>
        <v/>
      </c>
      <c r="B287">
        <f>IF($A287&gt;TODAY(),"",IFERROR(INDEX(Credit_KPIs_Tbl[Total Financing Amount],MATCH($A287,Credit_KPIs_Tbl[Date - التاريخ],0)),""))</f>
        <v/>
      </c>
      <c r="C287">
        <f>IF($A287&gt;TODAY(),"",IFERROR(INDEX(Credit_KPIs_Tbl[Today Financing Amount],MATCH($A287,Credit_KPIs_Tbl[Date - التاريخ],0)),""))</f>
        <v/>
      </c>
      <c r="D287">
        <f>IF($A287&gt;TODAY(),"",IFERROR(INDEX(Credit_KPIs_Tbl[Total Number Contracts],MATCH($A287,Credit_KPIs_Tbl[Date - التاريخ],0)),""))</f>
        <v/>
      </c>
      <c r="E287">
        <f>IF($A287&gt;TODAY(),"",IFERROR(INDEX(Credit_KPIs_Tbl[Cancelled],MATCH($A287,Credit_KPIs_Tbl[Date - التاريخ],0)),""))</f>
        <v/>
      </c>
      <c r="F287">
        <f>IF($A287&gt;TODAY(),"",SUMIFS(Collection_Summary_Tbl[Amount - المبلغ],Collection_Summary_Tbl[Item - البند],"الاجمالي",Collection_Summary_Tbl[Date To - الى],$A287))</f>
        <v/>
      </c>
      <c r="G287">
        <f>IF($A287&gt;TODAY(),"",SUMIFS(Sales_Tbl[Count - العدد],Sales_Tbl[Date - التاريخ],$A287))</f>
        <v/>
      </c>
      <c r="H287">
        <f>IF($A287&gt;TODAY(),"",SUMIFS(Sales_Tbl[Count - العدد],Sales_Tbl[Status - الحالة],"Accepted - تم التنفيذ",Sales_Tbl[Date - التاريخ],$A287))</f>
        <v/>
      </c>
      <c r="I287">
        <f>IF($A287&gt;TODAY(),"",SUMIFS(Customer_Care_Tbl[Active - نشط],Customer_Care_Tbl[Date - التاريخ],$A287))</f>
        <v/>
      </c>
      <c r="J287">
        <f>IF($A287&gt;TODAY(),"",SUMIFS(Customer_Care_Tbl[Close - مغلق],Customer_Care_Tbl[Date - التاريخ],$A287))</f>
        <v/>
      </c>
    </row>
    <row r="288">
      <c r="A288">
        <f>A287+1</f>
        <v/>
      </c>
      <c r="B288">
        <f>IF($A288&gt;TODAY(),"",IFERROR(INDEX(Credit_KPIs_Tbl[Total Financing Amount],MATCH($A288,Credit_KPIs_Tbl[Date - التاريخ],0)),""))</f>
        <v/>
      </c>
      <c r="C288">
        <f>IF($A288&gt;TODAY(),"",IFERROR(INDEX(Credit_KPIs_Tbl[Today Financing Amount],MATCH($A288,Credit_KPIs_Tbl[Date - التاريخ],0)),""))</f>
        <v/>
      </c>
      <c r="D288">
        <f>IF($A288&gt;TODAY(),"",IFERROR(INDEX(Credit_KPIs_Tbl[Total Number Contracts],MATCH($A288,Credit_KPIs_Tbl[Date - التاريخ],0)),""))</f>
        <v/>
      </c>
      <c r="E288">
        <f>IF($A288&gt;TODAY(),"",IFERROR(INDEX(Credit_KPIs_Tbl[Cancelled],MATCH($A288,Credit_KPIs_Tbl[Date - التاريخ],0)),""))</f>
        <v/>
      </c>
      <c r="F288">
        <f>IF($A288&gt;TODAY(),"",SUMIFS(Collection_Summary_Tbl[Amount - المبلغ],Collection_Summary_Tbl[Item - البند],"الاجمالي",Collection_Summary_Tbl[Date To - الى],$A288))</f>
        <v/>
      </c>
      <c r="G288">
        <f>IF($A288&gt;TODAY(),"",SUMIFS(Sales_Tbl[Count - العدد],Sales_Tbl[Date - التاريخ],$A288))</f>
        <v/>
      </c>
      <c r="H288">
        <f>IF($A288&gt;TODAY(),"",SUMIFS(Sales_Tbl[Count - العدد],Sales_Tbl[Status - الحالة],"Accepted - تم التنفيذ",Sales_Tbl[Date - التاريخ],$A288))</f>
        <v/>
      </c>
      <c r="I288">
        <f>IF($A288&gt;TODAY(),"",SUMIFS(Customer_Care_Tbl[Active - نشط],Customer_Care_Tbl[Date - التاريخ],$A288))</f>
        <v/>
      </c>
      <c r="J288">
        <f>IF($A288&gt;TODAY(),"",SUMIFS(Customer_Care_Tbl[Close - مغلق],Customer_Care_Tbl[Date - التاريخ],$A288))</f>
        <v/>
      </c>
    </row>
    <row r="289">
      <c r="A289">
        <f>A288+1</f>
        <v/>
      </c>
      <c r="B289">
        <f>IF($A289&gt;TODAY(),"",IFERROR(INDEX(Credit_KPIs_Tbl[Total Financing Amount],MATCH($A289,Credit_KPIs_Tbl[Date - التاريخ],0)),""))</f>
        <v/>
      </c>
      <c r="C289">
        <f>IF($A289&gt;TODAY(),"",IFERROR(INDEX(Credit_KPIs_Tbl[Today Financing Amount],MATCH($A289,Credit_KPIs_Tbl[Date - التاريخ],0)),""))</f>
        <v/>
      </c>
      <c r="D289">
        <f>IF($A289&gt;TODAY(),"",IFERROR(INDEX(Credit_KPIs_Tbl[Total Number Contracts],MATCH($A289,Credit_KPIs_Tbl[Date - التاريخ],0)),""))</f>
        <v/>
      </c>
      <c r="E289">
        <f>IF($A289&gt;TODAY(),"",IFERROR(INDEX(Credit_KPIs_Tbl[Cancelled],MATCH($A289,Credit_KPIs_Tbl[Date - التاريخ],0)),""))</f>
        <v/>
      </c>
      <c r="F289">
        <f>IF($A289&gt;TODAY(),"",SUMIFS(Collection_Summary_Tbl[Amount - المبلغ],Collection_Summary_Tbl[Item - البند],"الاجمالي",Collection_Summary_Tbl[Date To - الى],$A289))</f>
        <v/>
      </c>
      <c r="G289">
        <f>IF($A289&gt;TODAY(),"",SUMIFS(Sales_Tbl[Count - العدد],Sales_Tbl[Date - التاريخ],$A289))</f>
        <v/>
      </c>
      <c r="H289">
        <f>IF($A289&gt;TODAY(),"",SUMIFS(Sales_Tbl[Count - العدد],Sales_Tbl[Status - الحالة],"Accepted - تم التنفيذ",Sales_Tbl[Date - التاريخ],$A289))</f>
        <v/>
      </c>
      <c r="I289">
        <f>IF($A289&gt;TODAY(),"",SUMIFS(Customer_Care_Tbl[Active - نشط],Customer_Care_Tbl[Date - التاريخ],$A289))</f>
        <v/>
      </c>
      <c r="J289">
        <f>IF($A289&gt;TODAY(),"",SUMIFS(Customer_Care_Tbl[Close - مغلق],Customer_Care_Tbl[Date - التاريخ],$A289))</f>
        <v/>
      </c>
    </row>
    <row r="290">
      <c r="A290">
        <f>A289+1</f>
        <v/>
      </c>
      <c r="B290">
        <f>IF($A290&gt;TODAY(),"",IFERROR(INDEX(Credit_KPIs_Tbl[Total Financing Amount],MATCH($A290,Credit_KPIs_Tbl[Date - التاريخ],0)),""))</f>
        <v/>
      </c>
      <c r="C290">
        <f>IF($A290&gt;TODAY(),"",IFERROR(INDEX(Credit_KPIs_Tbl[Today Financing Amount],MATCH($A290,Credit_KPIs_Tbl[Date - التاريخ],0)),""))</f>
        <v/>
      </c>
      <c r="D290">
        <f>IF($A290&gt;TODAY(),"",IFERROR(INDEX(Credit_KPIs_Tbl[Total Number Contracts],MATCH($A290,Credit_KPIs_Tbl[Date - التاريخ],0)),""))</f>
        <v/>
      </c>
      <c r="E290">
        <f>IF($A290&gt;TODAY(),"",IFERROR(INDEX(Credit_KPIs_Tbl[Cancelled],MATCH($A290,Credit_KPIs_Tbl[Date - التاريخ],0)),""))</f>
        <v/>
      </c>
      <c r="F290">
        <f>IF($A290&gt;TODAY(),"",SUMIFS(Collection_Summary_Tbl[Amount - المبلغ],Collection_Summary_Tbl[Item - البند],"الاجمالي",Collection_Summary_Tbl[Date To - الى],$A290))</f>
        <v/>
      </c>
      <c r="G290">
        <f>IF($A290&gt;TODAY(),"",SUMIFS(Sales_Tbl[Count - العدد],Sales_Tbl[Date - التاريخ],$A290))</f>
        <v/>
      </c>
      <c r="H290">
        <f>IF($A290&gt;TODAY(),"",SUMIFS(Sales_Tbl[Count - العدد],Sales_Tbl[Status - الحالة],"Accepted - تم التنفيذ",Sales_Tbl[Date - التاريخ],$A290))</f>
        <v/>
      </c>
      <c r="I290">
        <f>IF($A290&gt;TODAY(),"",SUMIFS(Customer_Care_Tbl[Active - نشط],Customer_Care_Tbl[Date - التاريخ],$A290))</f>
        <v/>
      </c>
      <c r="J290">
        <f>IF($A290&gt;TODAY(),"",SUMIFS(Customer_Care_Tbl[Close - مغلق],Customer_Care_Tbl[Date - التاريخ],$A290))</f>
        <v/>
      </c>
    </row>
    <row r="291">
      <c r="A291">
        <f>A290+1</f>
        <v/>
      </c>
      <c r="B291">
        <f>IF($A291&gt;TODAY(),"",IFERROR(INDEX(Credit_KPIs_Tbl[Total Financing Amount],MATCH($A291,Credit_KPIs_Tbl[Date - التاريخ],0)),""))</f>
        <v/>
      </c>
      <c r="C291">
        <f>IF($A291&gt;TODAY(),"",IFERROR(INDEX(Credit_KPIs_Tbl[Today Financing Amount],MATCH($A291,Credit_KPIs_Tbl[Date - التاريخ],0)),""))</f>
        <v/>
      </c>
      <c r="D291">
        <f>IF($A291&gt;TODAY(),"",IFERROR(INDEX(Credit_KPIs_Tbl[Total Number Contracts],MATCH($A291,Credit_KPIs_Tbl[Date - التاريخ],0)),""))</f>
        <v/>
      </c>
      <c r="E291">
        <f>IF($A291&gt;TODAY(),"",IFERROR(INDEX(Credit_KPIs_Tbl[Cancelled],MATCH($A291,Credit_KPIs_Tbl[Date - التاريخ],0)),""))</f>
        <v/>
      </c>
      <c r="F291">
        <f>IF($A291&gt;TODAY(),"",SUMIFS(Collection_Summary_Tbl[Amount - المبلغ],Collection_Summary_Tbl[Item - البند],"الاجمالي",Collection_Summary_Tbl[Date To - الى],$A291))</f>
        <v/>
      </c>
      <c r="G291">
        <f>IF($A291&gt;TODAY(),"",SUMIFS(Sales_Tbl[Count - العدد],Sales_Tbl[Date - التاريخ],$A291))</f>
        <v/>
      </c>
      <c r="H291">
        <f>IF($A291&gt;TODAY(),"",SUMIFS(Sales_Tbl[Count - العدد],Sales_Tbl[Status - الحالة],"Accepted - تم التنفيذ",Sales_Tbl[Date - التاريخ],$A291))</f>
        <v/>
      </c>
      <c r="I291">
        <f>IF($A291&gt;TODAY(),"",SUMIFS(Customer_Care_Tbl[Active - نشط],Customer_Care_Tbl[Date - التاريخ],$A291))</f>
        <v/>
      </c>
      <c r="J291">
        <f>IF($A291&gt;TODAY(),"",SUMIFS(Customer_Care_Tbl[Close - مغلق],Customer_Care_Tbl[Date - التاريخ],$A291))</f>
        <v/>
      </c>
    </row>
    <row r="292">
      <c r="A292">
        <f>A291+1</f>
        <v/>
      </c>
      <c r="B292">
        <f>IF($A292&gt;TODAY(),"",IFERROR(INDEX(Credit_KPIs_Tbl[Total Financing Amount],MATCH($A292,Credit_KPIs_Tbl[Date - التاريخ],0)),""))</f>
        <v/>
      </c>
      <c r="C292">
        <f>IF($A292&gt;TODAY(),"",IFERROR(INDEX(Credit_KPIs_Tbl[Today Financing Amount],MATCH($A292,Credit_KPIs_Tbl[Date - التاريخ],0)),""))</f>
        <v/>
      </c>
      <c r="D292">
        <f>IF($A292&gt;TODAY(),"",IFERROR(INDEX(Credit_KPIs_Tbl[Total Number Contracts],MATCH($A292,Credit_KPIs_Tbl[Date - التاريخ],0)),""))</f>
        <v/>
      </c>
      <c r="E292">
        <f>IF($A292&gt;TODAY(),"",IFERROR(INDEX(Credit_KPIs_Tbl[Cancelled],MATCH($A292,Credit_KPIs_Tbl[Date - التاريخ],0)),""))</f>
        <v/>
      </c>
      <c r="F292">
        <f>IF($A292&gt;TODAY(),"",SUMIFS(Collection_Summary_Tbl[Amount - المبلغ],Collection_Summary_Tbl[Item - البند],"الاجمالي",Collection_Summary_Tbl[Date To - الى],$A292))</f>
        <v/>
      </c>
      <c r="G292">
        <f>IF($A292&gt;TODAY(),"",SUMIFS(Sales_Tbl[Count - العدد],Sales_Tbl[Date - التاريخ],$A292))</f>
        <v/>
      </c>
      <c r="H292">
        <f>IF($A292&gt;TODAY(),"",SUMIFS(Sales_Tbl[Count - العدد],Sales_Tbl[Status - الحالة],"Accepted - تم التنفيذ",Sales_Tbl[Date - التاريخ],$A292))</f>
        <v/>
      </c>
      <c r="I292">
        <f>IF($A292&gt;TODAY(),"",SUMIFS(Customer_Care_Tbl[Active - نشط],Customer_Care_Tbl[Date - التاريخ],$A292))</f>
        <v/>
      </c>
      <c r="J292">
        <f>IF($A292&gt;TODAY(),"",SUMIFS(Customer_Care_Tbl[Close - مغلق],Customer_Care_Tbl[Date - التاريخ],$A292))</f>
        <v/>
      </c>
    </row>
    <row r="293">
      <c r="A293">
        <f>A292+1</f>
        <v/>
      </c>
      <c r="B293">
        <f>IF($A293&gt;TODAY(),"",IFERROR(INDEX(Credit_KPIs_Tbl[Total Financing Amount],MATCH($A293,Credit_KPIs_Tbl[Date - التاريخ],0)),""))</f>
        <v/>
      </c>
      <c r="C293">
        <f>IF($A293&gt;TODAY(),"",IFERROR(INDEX(Credit_KPIs_Tbl[Today Financing Amount],MATCH($A293,Credit_KPIs_Tbl[Date - التاريخ],0)),""))</f>
        <v/>
      </c>
      <c r="D293">
        <f>IF($A293&gt;TODAY(),"",IFERROR(INDEX(Credit_KPIs_Tbl[Total Number Contracts],MATCH($A293,Credit_KPIs_Tbl[Date - التاريخ],0)),""))</f>
        <v/>
      </c>
      <c r="E293">
        <f>IF($A293&gt;TODAY(),"",IFERROR(INDEX(Credit_KPIs_Tbl[Cancelled],MATCH($A293,Credit_KPIs_Tbl[Date - التاريخ],0)),""))</f>
        <v/>
      </c>
      <c r="F293">
        <f>IF($A293&gt;TODAY(),"",SUMIFS(Collection_Summary_Tbl[Amount - المبلغ],Collection_Summary_Tbl[Item - البند],"الاجمالي",Collection_Summary_Tbl[Date To - الى],$A293))</f>
        <v/>
      </c>
      <c r="G293">
        <f>IF($A293&gt;TODAY(),"",SUMIFS(Sales_Tbl[Count - العدد],Sales_Tbl[Date - التاريخ],$A293))</f>
        <v/>
      </c>
      <c r="H293">
        <f>IF($A293&gt;TODAY(),"",SUMIFS(Sales_Tbl[Count - العدد],Sales_Tbl[Status - الحالة],"Accepted - تم التنفيذ",Sales_Tbl[Date - التاريخ],$A293))</f>
        <v/>
      </c>
      <c r="I293">
        <f>IF($A293&gt;TODAY(),"",SUMIFS(Customer_Care_Tbl[Active - نشط],Customer_Care_Tbl[Date - التاريخ],$A293))</f>
        <v/>
      </c>
      <c r="J293">
        <f>IF($A293&gt;TODAY(),"",SUMIFS(Customer_Care_Tbl[Close - مغلق],Customer_Care_Tbl[Date - التاريخ],$A293))</f>
        <v/>
      </c>
    </row>
    <row r="294">
      <c r="A294">
        <f>A293+1</f>
        <v/>
      </c>
      <c r="B294">
        <f>IF($A294&gt;TODAY(),"",IFERROR(INDEX(Credit_KPIs_Tbl[Total Financing Amount],MATCH($A294,Credit_KPIs_Tbl[Date - التاريخ],0)),""))</f>
        <v/>
      </c>
      <c r="C294">
        <f>IF($A294&gt;TODAY(),"",IFERROR(INDEX(Credit_KPIs_Tbl[Today Financing Amount],MATCH($A294,Credit_KPIs_Tbl[Date - التاريخ],0)),""))</f>
        <v/>
      </c>
      <c r="D294">
        <f>IF($A294&gt;TODAY(),"",IFERROR(INDEX(Credit_KPIs_Tbl[Total Number Contracts],MATCH($A294,Credit_KPIs_Tbl[Date - التاريخ],0)),""))</f>
        <v/>
      </c>
      <c r="E294">
        <f>IF($A294&gt;TODAY(),"",IFERROR(INDEX(Credit_KPIs_Tbl[Cancelled],MATCH($A294,Credit_KPIs_Tbl[Date - التاريخ],0)),""))</f>
        <v/>
      </c>
      <c r="F294">
        <f>IF($A294&gt;TODAY(),"",SUMIFS(Collection_Summary_Tbl[Amount - المبلغ],Collection_Summary_Tbl[Item - البند],"الاجمالي",Collection_Summary_Tbl[Date To - الى],$A294))</f>
        <v/>
      </c>
      <c r="G294">
        <f>IF($A294&gt;TODAY(),"",SUMIFS(Sales_Tbl[Count - العدد],Sales_Tbl[Date - التاريخ],$A294))</f>
        <v/>
      </c>
      <c r="H294">
        <f>IF($A294&gt;TODAY(),"",SUMIFS(Sales_Tbl[Count - العدد],Sales_Tbl[Status - الحالة],"Accepted - تم التنفيذ",Sales_Tbl[Date - التاريخ],$A294))</f>
        <v/>
      </c>
      <c r="I294">
        <f>IF($A294&gt;TODAY(),"",SUMIFS(Customer_Care_Tbl[Active - نشط],Customer_Care_Tbl[Date - التاريخ],$A294))</f>
        <v/>
      </c>
      <c r="J294">
        <f>IF($A294&gt;TODAY(),"",SUMIFS(Customer_Care_Tbl[Close - مغلق],Customer_Care_Tbl[Date - التاريخ],$A294))</f>
        <v/>
      </c>
    </row>
    <row r="295">
      <c r="A295">
        <f>A294+1</f>
        <v/>
      </c>
      <c r="B295">
        <f>IF($A295&gt;TODAY(),"",IFERROR(INDEX(Credit_KPIs_Tbl[Total Financing Amount],MATCH($A295,Credit_KPIs_Tbl[Date - التاريخ],0)),""))</f>
        <v/>
      </c>
      <c r="C295">
        <f>IF($A295&gt;TODAY(),"",IFERROR(INDEX(Credit_KPIs_Tbl[Today Financing Amount],MATCH($A295,Credit_KPIs_Tbl[Date - التاريخ],0)),""))</f>
        <v/>
      </c>
      <c r="D295">
        <f>IF($A295&gt;TODAY(),"",IFERROR(INDEX(Credit_KPIs_Tbl[Total Number Contracts],MATCH($A295,Credit_KPIs_Tbl[Date - التاريخ],0)),""))</f>
        <v/>
      </c>
      <c r="E295">
        <f>IF($A295&gt;TODAY(),"",IFERROR(INDEX(Credit_KPIs_Tbl[Cancelled],MATCH($A295,Credit_KPIs_Tbl[Date - التاريخ],0)),""))</f>
        <v/>
      </c>
      <c r="F295">
        <f>IF($A295&gt;TODAY(),"",SUMIFS(Collection_Summary_Tbl[Amount - المبلغ],Collection_Summary_Tbl[Item - البند],"الاجمالي",Collection_Summary_Tbl[Date To - الى],$A295))</f>
        <v/>
      </c>
      <c r="G295">
        <f>IF($A295&gt;TODAY(),"",SUMIFS(Sales_Tbl[Count - العدد],Sales_Tbl[Date - التاريخ],$A295))</f>
        <v/>
      </c>
      <c r="H295">
        <f>IF($A295&gt;TODAY(),"",SUMIFS(Sales_Tbl[Count - العدد],Sales_Tbl[Status - الحالة],"Accepted - تم التنفيذ",Sales_Tbl[Date - التاريخ],$A295))</f>
        <v/>
      </c>
      <c r="I295">
        <f>IF($A295&gt;TODAY(),"",SUMIFS(Customer_Care_Tbl[Active - نشط],Customer_Care_Tbl[Date - التاريخ],$A295))</f>
        <v/>
      </c>
      <c r="J295">
        <f>IF($A295&gt;TODAY(),"",SUMIFS(Customer_Care_Tbl[Close - مغلق],Customer_Care_Tbl[Date - التاريخ],$A295))</f>
        <v/>
      </c>
    </row>
    <row r="296">
      <c r="A296">
        <f>A295+1</f>
        <v/>
      </c>
      <c r="B296">
        <f>IF($A296&gt;TODAY(),"",IFERROR(INDEX(Credit_KPIs_Tbl[Total Financing Amount],MATCH($A296,Credit_KPIs_Tbl[Date - التاريخ],0)),""))</f>
        <v/>
      </c>
      <c r="C296">
        <f>IF($A296&gt;TODAY(),"",IFERROR(INDEX(Credit_KPIs_Tbl[Today Financing Amount],MATCH($A296,Credit_KPIs_Tbl[Date - التاريخ],0)),""))</f>
        <v/>
      </c>
      <c r="D296">
        <f>IF($A296&gt;TODAY(),"",IFERROR(INDEX(Credit_KPIs_Tbl[Total Number Contracts],MATCH($A296,Credit_KPIs_Tbl[Date - التاريخ],0)),""))</f>
        <v/>
      </c>
      <c r="E296">
        <f>IF($A296&gt;TODAY(),"",IFERROR(INDEX(Credit_KPIs_Tbl[Cancelled],MATCH($A296,Credit_KPIs_Tbl[Date - التاريخ],0)),""))</f>
        <v/>
      </c>
      <c r="F296">
        <f>IF($A296&gt;TODAY(),"",SUMIFS(Collection_Summary_Tbl[Amount - المبلغ],Collection_Summary_Tbl[Item - البند],"الاجمالي",Collection_Summary_Tbl[Date To - الى],$A296))</f>
        <v/>
      </c>
      <c r="G296">
        <f>IF($A296&gt;TODAY(),"",SUMIFS(Sales_Tbl[Count - العدد],Sales_Tbl[Date - التاريخ],$A296))</f>
        <v/>
      </c>
      <c r="H296">
        <f>IF($A296&gt;TODAY(),"",SUMIFS(Sales_Tbl[Count - العدد],Sales_Tbl[Status - الحالة],"Accepted - تم التنفيذ",Sales_Tbl[Date - التاريخ],$A296))</f>
        <v/>
      </c>
      <c r="I296">
        <f>IF($A296&gt;TODAY(),"",SUMIFS(Customer_Care_Tbl[Active - نشط],Customer_Care_Tbl[Date - التاريخ],$A296))</f>
        <v/>
      </c>
      <c r="J296">
        <f>IF($A296&gt;TODAY(),"",SUMIFS(Customer_Care_Tbl[Close - مغلق],Customer_Care_Tbl[Date - التاريخ],$A296))</f>
        <v/>
      </c>
    </row>
    <row r="297">
      <c r="A297">
        <f>A296+1</f>
        <v/>
      </c>
      <c r="B297">
        <f>IF($A297&gt;TODAY(),"",IFERROR(INDEX(Credit_KPIs_Tbl[Total Financing Amount],MATCH($A297,Credit_KPIs_Tbl[Date - التاريخ],0)),""))</f>
        <v/>
      </c>
      <c r="C297">
        <f>IF($A297&gt;TODAY(),"",IFERROR(INDEX(Credit_KPIs_Tbl[Today Financing Amount],MATCH($A297,Credit_KPIs_Tbl[Date - التاريخ],0)),""))</f>
        <v/>
      </c>
      <c r="D297">
        <f>IF($A297&gt;TODAY(),"",IFERROR(INDEX(Credit_KPIs_Tbl[Total Number Contracts],MATCH($A297,Credit_KPIs_Tbl[Date - التاريخ],0)),""))</f>
        <v/>
      </c>
      <c r="E297">
        <f>IF($A297&gt;TODAY(),"",IFERROR(INDEX(Credit_KPIs_Tbl[Cancelled],MATCH($A297,Credit_KPIs_Tbl[Date - التاريخ],0)),""))</f>
        <v/>
      </c>
      <c r="F297">
        <f>IF($A297&gt;TODAY(),"",SUMIFS(Collection_Summary_Tbl[Amount - المبلغ],Collection_Summary_Tbl[Item - البند],"الاجمالي",Collection_Summary_Tbl[Date To - الى],$A297))</f>
        <v/>
      </c>
      <c r="G297">
        <f>IF($A297&gt;TODAY(),"",SUMIFS(Sales_Tbl[Count - العدد],Sales_Tbl[Date - التاريخ],$A297))</f>
        <v/>
      </c>
      <c r="H297">
        <f>IF($A297&gt;TODAY(),"",SUMIFS(Sales_Tbl[Count - العدد],Sales_Tbl[Status - الحالة],"Accepted - تم التنفيذ",Sales_Tbl[Date - التاريخ],$A297))</f>
        <v/>
      </c>
      <c r="I297">
        <f>IF($A297&gt;TODAY(),"",SUMIFS(Customer_Care_Tbl[Active - نشط],Customer_Care_Tbl[Date - التاريخ],$A297))</f>
        <v/>
      </c>
      <c r="J297">
        <f>IF($A297&gt;TODAY(),"",SUMIFS(Customer_Care_Tbl[Close - مغلق],Customer_Care_Tbl[Date - التاريخ],$A297))</f>
        <v/>
      </c>
    </row>
    <row r="298">
      <c r="A298">
        <f>A297+1</f>
        <v/>
      </c>
      <c r="B298">
        <f>IF($A298&gt;TODAY(),"",IFERROR(INDEX(Credit_KPIs_Tbl[Total Financing Amount],MATCH($A298,Credit_KPIs_Tbl[Date - التاريخ],0)),""))</f>
        <v/>
      </c>
      <c r="C298">
        <f>IF($A298&gt;TODAY(),"",IFERROR(INDEX(Credit_KPIs_Tbl[Today Financing Amount],MATCH($A298,Credit_KPIs_Tbl[Date - التاريخ],0)),""))</f>
        <v/>
      </c>
      <c r="D298">
        <f>IF($A298&gt;TODAY(),"",IFERROR(INDEX(Credit_KPIs_Tbl[Total Number Contracts],MATCH($A298,Credit_KPIs_Tbl[Date - التاريخ],0)),""))</f>
        <v/>
      </c>
      <c r="E298">
        <f>IF($A298&gt;TODAY(),"",IFERROR(INDEX(Credit_KPIs_Tbl[Cancelled],MATCH($A298,Credit_KPIs_Tbl[Date - التاريخ],0)),""))</f>
        <v/>
      </c>
      <c r="F298">
        <f>IF($A298&gt;TODAY(),"",SUMIFS(Collection_Summary_Tbl[Amount - المبلغ],Collection_Summary_Tbl[Item - البند],"الاجمالي",Collection_Summary_Tbl[Date To - الى],$A298))</f>
        <v/>
      </c>
      <c r="G298">
        <f>IF($A298&gt;TODAY(),"",SUMIFS(Sales_Tbl[Count - العدد],Sales_Tbl[Date - التاريخ],$A298))</f>
        <v/>
      </c>
      <c r="H298">
        <f>IF($A298&gt;TODAY(),"",SUMIFS(Sales_Tbl[Count - العدد],Sales_Tbl[Status - الحالة],"Accepted - تم التنفيذ",Sales_Tbl[Date - التاريخ],$A298))</f>
        <v/>
      </c>
      <c r="I298">
        <f>IF($A298&gt;TODAY(),"",SUMIFS(Customer_Care_Tbl[Active - نشط],Customer_Care_Tbl[Date - التاريخ],$A298))</f>
        <v/>
      </c>
      <c r="J298">
        <f>IF($A298&gt;TODAY(),"",SUMIFS(Customer_Care_Tbl[Close - مغلق],Customer_Care_Tbl[Date - التاريخ],$A298))</f>
        <v/>
      </c>
    </row>
    <row r="299">
      <c r="A299">
        <f>A298+1</f>
        <v/>
      </c>
      <c r="B299">
        <f>IF($A299&gt;TODAY(),"",IFERROR(INDEX(Credit_KPIs_Tbl[Total Financing Amount],MATCH($A299,Credit_KPIs_Tbl[Date - التاريخ],0)),""))</f>
        <v/>
      </c>
      <c r="C299">
        <f>IF($A299&gt;TODAY(),"",IFERROR(INDEX(Credit_KPIs_Tbl[Today Financing Amount],MATCH($A299,Credit_KPIs_Tbl[Date - التاريخ],0)),""))</f>
        <v/>
      </c>
      <c r="D299">
        <f>IF($A299&gt;TODAY(),"",IFERROR(INDEX(Credit_KPIs_Tbl[Total Number Contracts],MATCH($A299,Credit_KPIs_Tbl[Date - التاريخ],0)),""))</f>
        <v/>
      </c>
      <c r="E299">
        <f>IF($A299&gt;TODAY(),"",IFERROR(INDEX(Credit_KPIs_Tbl[Cancelled],MATCH($A299,Credit_KPIs_Tbl[Date - التاريخ],0)),""))</f>
        <v/>
      </c>
      <c r="F299">
        <f>IF($A299&gt;TODAY(),"",SUMIFS(Collection_Summary_Tbl[Amount - المبلغ],Collection_Summary_Tbl[Item - البند],"الاجمالي",Collection_Summary_Tbl[Date To - الى],$A299))</f>
        <v/>
      </c>
      <c r="G299">
        <f>IF($A299&gt;TODAY(),"",SUMIFS(Sales_Tbl[Count - العدد],Sales_Tbl[Date - التاريخ],$A299))</f>
        <v/>
      </c>
      <c r="H299">
        <f>IF($A299&gt;TODAY(),"",SUMIFS(Sales_Tbl[Count - العدد],Sales_Tbl[Status - الحالة],"Accepted - تم التنفيذ",Sales_Tbl[Date - التاريخ],$A299))</f>
        <v/>
      </c>
      <c r="I299">
        <f>IF($A299&gt;TODAY(),"",SUMIFS(Customer_Care_Tbl[Active - نشط],Customer_Care_Tbl[Date - التاريخ],$A299))</f>
        <v/>
      </c>
      <c r="J299">
        <f>IF($A299&gt;TODAY(),"",SUMIFS(Customer_Care_Tbl[Close - مغلق],Customer_Care_Tbl[Date - التاريخ],$A299))</f>
        <v/>
      </c>
    </row>
    <row r="300">
      <c r="A300">
        <f>A299+1</f>
        <v/>
      </c>
      <c r="B300">
        <f>IF($A300&gt;TODAY(),"",IFERROR(INDEX(Credit_KPIs_Tbl[Total Financing Amount],MATCH($A300,Credit_KPIs_Tbl[Date - التاريخ],0)),""))</f>
        <v/>
      </c>
      <c r="C300">
        <f>IF($A300&gt;TODAY(),"",IFERROR(INDEX(Credit_KPIs_Tbl[Today Financing Amount],MATCH($A300,Credit_KPIs_Tbl[Date - التاريخ],0)),""))</f>
        <v/>
      </c>
      <c r="D300">
        <f>IF($A300&gt;TODAY(),"",IFERROR(INDEX(Credit_KPIs_Tbl[Total Number Contracts],MATCH($A300,Credit_KPIs_Tbl[Date - التاريخ],0)),""))</f>
        <v/>
      </c>
      <c r="E300">
        <f>IF($A300&gt;TODAY(),"",IFERROR(INDEX(Credit_KPIs_Tbl[Cancelled],MATCH($A300,Credit_KPIs_Tbl[Date - التاريخ],0)),""))</f>
        <v/>
      </c>
      <c r="F300">
        <f>IF($A300&gt;TODAY(),"",SUMIFS(Collection_Summary_Tbl[Amount - المبلغ],Collection_Summary_Tbl[Item - البند],"الاجمالي",Collection_Summary_Tbl[Date To - الى],$A300))</f>
        <v/>
      </c>
      <c r="G300">
        <f>IF($A300&gt;TODAY(),"",SUMIFS(Sales_Tbl[Count - العدد],Sales_Tbl[Date - التاريخ],$A300))</f>
        <v/>
      </c>
      <c r="H300">
        <f>IF($A300&gt;TODAY(),"",SUMIFS(Sales_Tbl[Count - العدد],Sales_Tbl[Status - الحالة],"Accepted - تم التنفيذ",Sales_Tbl[Date - التاريخ],$A300))</f>
        <v/>
      </c>
      <c r="I300">
        <f>IF($A300&gt;TODAY(),"",SUMIFS(Customer_Care_Tbl[Active - نشط],Customer_Care_Tbl[Date - التاريخ],$A300))</f>
        <v/>
      </c>
      <c r="J300">
        <f>IF($A300&gt;TODAY(),"",SUMIFS(Customer_Care_Tbl[Close - مغلق],Customer_Care_Tbl[Date - التاريخ],$A300))</f>
        <v/>
      </c>
    </row>
    <row r="301">
      <c r="A301">
        <f>A300+1</f>
        <v/>
      </c>
      <c r="B301">
        <f>IF($A301&gt;TODAY(),"",IFERROR(INDEX(Credit_KPIs_Tbl[Total Financing Amount],MATCH($A301,Credit_KPIs_Tbl[Date - التاريخ],0)),""))</f>
        <v/>
      </c>
      <c r="C301">
        <f>IF($A301&gt;TODAY(),"",IFERROR(INDEX(Credit_KPIs_Tbl[Today Financing Amount],MATCH($A301,Credit_KPIs_Tbl[Date - التاريخ],0)),""))</f>
        <v/>
      </c>
      <c r="D301">
        <f>IF($A301&gt;TODAY(),"",IFERROR(INDEX(Credit_KPIs_Tbl[Total Number Contracts],MATCH($A301,Credit_KPIs_Tbl[Date - التاريخ],0)),""))</f>
        <v/>
      </c>
      <c r="E301">
        <f>IF($A301&gt;TODAY(),"",IFERROR(INDEX(Credit_KPIs_Tbl[Cancelled],MATCH($A301,Credit_KPIs_Tbl[Date - التاريخ],0)),""))</f>
        <v/>
      </c>
      <c r="F301">
        <f>IF($A301&gt;TODAY(),"",SUMIFS(Collection_Summary_Tbl[Amount - المبلغ],Collection_Summary_Tbl[Item - البند],"الاجمالي",Collection_Summary_Tbl[Date To - الى],$A301))</f>
        <v/>
      </c>
      <c r="G301">
        <f>IF($A301&gt;TODAY(),"",SUMIFS(Sales_Tbl[Count - العدد],Sales_Tbl[Date - التاريخ],$A301))</f>
        <v/>
      </c>
      <c r="H301">
        <f>IF($A301&gt;TODAY(),"",SUMIFS(Sales_Tbl[Count - العدد],Sales_Tbl[Status - الحالة],"Accepted - تم التنفيذ",Sales_Tbl[Date - التاريخ],$A301))</f>
        <v/>
      </c>
      <c r="I301">
        <f>IF($A301&gt;TODAY(),"",SUMIFS(Customer_Care_Tbl[Active - نشط],Customer_Care_Tbl[Date - التاريخ],$A301))</f>
        <v/>
      </c>
      <c r="J301">
        <f>IF($A301&gt;TODAY(),"",SUMIFS(Customer_Care_Tbl[Close - مغلق],Customer_Care_Tbl[Date - التاريخ],$A301))</f>
        <v/>
      </c>
    </row>
    <row r="302">
      <c r="A302">
        <f>A301+1</f>
        <v/>
      </c>
      <c r="B302">
        <f>IF($A302&gt;TODAY(),"",IFERROR(INDEX(Credit_KPIs_Tbl[Total Financing Amount],MATCH($A302,Credit_KPIs_Tbl[Date - التاريخ],0)),""))</f>
        <v/>
      </c>
      <c r="C302">
        <f>IF($A302&gt;TODAY(),"",IFERROR(INDEX(Credit_KPIs_Tbl[Today Financing Amount],MATCH($A302,Credit_KPIs_Tbl[Date - التاريخ],0)),""))</f>
        <v/>
      </c>
      <c r="D302">
        <f>IF($A302&gt;TODAY(),"",IFERROR(INDEX(Credit_KPIs_Tbl[Total Number Contracts],MATCH($A302,Credit_KPIs_Tbl[Date - التاريخ],0)),""))</f>
        <v/>
      </c>
      <c r="E302">
        <f>IF($A302&gt;TODAY(),"",IFERROR(INDEX(Credit_KPIs_Tbl[Cancelled],MATCH($A302,Credit_KPIs_Tbl[Date - التاريخ],0)),""))</f>
        <v/>
      </c>
      <c r="F302">
        <f>IF($A302&gt;TODAY(),"",SUMIFS(Collection_Summary_Tbl[Amount - المبلغ],Collection_Summary_Tbl[Item - البند],"الاجمالي",Collection_Summary_Tbl[Date To - الى],$A302))</f>
        <v/>
      </c>
      <c r="G302">
        <f>IF($A302&gt;TODAY(),"",SUMIFS(Sales_Tbl[Count - العدد],Sales_Tbl[Date - التاريخ],$A302))</f>
        <v/>
      </c>
      <c r="H302">
        <f>IF($A302&gt;TODAY(),"",SUMIFS(Sales_Tbl[Count - العدد],Sales_Tbl[Status - الحالة],"Accepted - تم التنفيذ",Sales_Tbl[Date - التاريخ],$A302))</f>
        <v/>
      </c>
      <c r="I302">
        <f>IF($A302&gt;TODAY(),"",SUMIFS(Customer_Care_Tbl[Active - نشط],Customer_Care_Tbl[Date - التاريخ],$A302))</f>
        <v/>
      </c>
      <c r="J302">
        <f>IF($A302&gt;TODAY(),"",SUMIFS(Customer_Care_Tbl[Close - مغلق],Customer_Care_Tbl[Date - التاريخ],$A302))</f>
        <v/>
      </c>
    </row>
    <row r="303">
      <c r="A303">
        <f>A302+1</f>
        <v/>
      </c>
      <c r="B303">
        <f>IF($A303&gt;TODAY(),"",IFERROR(INDEX(Credit_KPIs_Tbl[Total Financing Amount],MATCH($A303,Credit_KPIs_Tbl[Date - التاريخ],0)),""))</f>
        <v/>
      </c>
      <c r="C303">
        <f>IF($A303&gt;TODAY(),"",IFERROR(INDEX(Credit_KPIs_Tbl[Today Financing Amount],MATCH($A303,Credit_KPIs_Tbl[Date - التاريخ],0)),""))</f>
        <v/>
      </c>
      <c r="D303">
        <f>IF($A303&gt;TODAY(),"",IFERROR(INDEX(Credit_KPIs_Tbl[Total Number Contracts],MATCH($A303,Credit_KPIs_Tbl[Date - التاريخ],0)),""))</f>
        <v/>
      </c>
      <c r="E303">
        <f>IF($A303&gt;TODAY(),"",IFERROR(INDEX(Credit_KPIs_Tbl[Cancelled],MATCH($A303,Credit_KPIs_Tbl[Date - التاريخ],0)),""))</f>
        <v/>
      </c>
      <c r="F303">
        <f>IF($A303&gt;TODAY(),"",SUMIFS(Collection_Summary_Tbl[Amount - المبلغ],Collection_Summary_Tbl[Item - البند],"الاجمالي",Collection_Summary_Tbl[Date To - الى],$A303))</f>
        <v/>
      </c>
      <c r="G303">
        <f>IF($A303&gt;TODAY(),"",SUMIFS(Sales_Tbl[Count - العدد],Sales_Tbl[Date - التاريخ],$A303))</f>
        <v/>
      </c>
      <c r="H303">
        <f>IF($A303&gt;TODAY(),"",SUMIFS(Sales_Tbl[Count - العدد],Sales_Tbl[Status - الحالة],"Accepted - تم التنفيذ",Sales_Tbl[Date - التاريخ],$A303))</f>
        <v/>
      </c>
      <c r="I303">
        <f>IF($A303&gt;TODAY(),"",SUMIFS(Customer_Care_Tbl[Active - نشط],Customer_Care_Tbl[Date - التاريخ],$A303))</f>
        <v/>
      </c>
      <c r="J303">
        <f>IF($A303&gt;TODAY(),"",SUMIFS(Customer_Care_Tbl[Close - مغلق],Customer_Care_Tbl[Date - التاريخ],$A303))</f>
        <v/>
      </c>
    </row>
    <row r="304">
      <c r="A304">
        <f>A303+1</f>
        <v/>
      </c>
      <c r="B304">
        <f>IF($A304&gt;TODAY(),"",IFERROR(INDEX(Credit_KPIs_Tbl[Total Financing Amount],MATCH($A304,Credit_KPIs_Tbl[Date - التاريخ],0)),""))</f>
        <v/>
      </c>
      <c r="C304">
        <f>IF($A304&gt;TODAY(),"",IFERROR(INDEX(Credit_KPIs_Tbl[Today Financing Amount],MATCH($A304,Credit_KPIs_Tbl[Date - التاريخ],0)),""))</f>
        <v/>
      </c>
      <c r="D304">
        <f>IF($A304&gt;TODAY(),"",IFERROR(INDEX(Credit_KPIs_Tbl[Total Number Contracts],MATCH($A304,Credit_KPIs_Tbl[Date - التاريخ],0)),""))</f>
        <v/>
      </c>
      <c r="E304">
        <f>IF($A304&gt;TODAY(),"",IFERROR(INDEX(Credit_KPIs_Tbl[Cancelled],MATCH($A304,Credit_KPIs_Tbl[Date - التاريخ],0)),""))</f>
        <v/>
      </c>
      <c r="F304">
        <f>IF($A304&gt;TODAY(),"",SUMIFS(Collection_Summary_Tbl[Amount - المبلغ],Collection_Summary_Tbl[Item - البند],"الاجمالي",Collection_Summary_Tbl[Date To - الى],$A304))</f>
        <v/>
      </c>
      <c r="G304">
        <f>IF($A304&gt;TODAY(),"",SUMIFS(Sales_Tbl[Count - العدد],Sales_Tbl[Date - التاريخ],$A304))</f>
        <v/>
      </c>
      <c r="H304">
        <f>IF($A304&gt;TODAY(),"",SUMIFS(Sales_Tbl[Count - العدد],Sales_Tbl[Status - الحالة],"Accepted - تم التنفيذ",Sales_Tbl[Date - التاريخ],$A304))</f>
        <v/>
      </c>
      <c r="I304">
        <f>IF($A304&gt;TODAY(),"",SUMIFS(Customer_Care_Tbl[Active - نشط],Customer_Care_Tbl[Date - التاريخ],$A304))</f>
        <v/>
      </c>
      <c r="J304">
        <f>IF($A304&gt;TODAY(),"",SUMIFS(Customer_Care_Tbl[Close - مغلق],Customer_Care_Tbl[Date - التاريخ],$A304))</f>
        <v/>
      </c>
    </row>
    <row r="305">
      <c r="A305">
        <f>A304+1</f>
        <v/>
      </c>
      <c r="B305">
        <f>IF($A305&gt;TODAY(),"",IFERROR(INDEX(Credit_KPIs_Tbl[Total Financing Amount],MATCH($A305,Credit_KPIs_Tbl[Date - التاريخ],0)),""))</f>
        <v/>
      </c>
      <c r="C305">
        <f>IF($A305&gt;TODAY(),"",IFERROR(INDEX(Credit_KPIs_Tbl[Today Financing Amount],MATCH($A305,Credit_KPIs_Tbl[Date - التاريخ],0)),""))</f>
        <v/>
      </c>
      <c r="D305">
        <f>IF($A305&gt;TODAY(),"",IFERROR(INDEX(Credit_KPIs_Tbl[Total Number Contracts],MATCH($A305,Credit_KPIs_Tbl[Date - التاريخ],0)),""))</f>
        <v/>
      </c>
      <c r="E305">
        <f>IF($A305&gt;TODAY(),"",IFERROR(INDEX(Credit_KPIs_Tbl[Cancelled],MATCH($A305,Credit_KPIs_Tbl[Date - التاريخ],0)),""))</f>
        <v/>
      </c>
      <c r="F305">
        <f>IF($A305&gt;TODAY(),"",SUMIFS(Collection_Summary_Tbl[Amount - المبلغ],Collection_Summary_Tbl[Item - البند],"الاجمالي",Collection_Summary_Tbl[Date To - الى],$A305))</f>
        <v/>
      </c>
      <c r="G305">
        <f>IF($A305&gt;TODAY(),"",SUMIFS(Sales_Tbl[Count - العدد],Sales_Tbl[Date - التاريخ],$A305))</f>
        <v/>
      </c>
      <c r="H305">
        <f>IF($A305&gt;TODAY(),"",SUMIFS(Sales_Tbl[Count - العدد],Sales_Tbl[Status - الحالة],"Accepted - تم التنفيذ",Sales_Tbl[Date - التاريخ],$A305))</f>
        <v/>
      </c>
      <c r="I305">
        <f>IF($A305&gt;TODAY(),"",SUMIFS(Customer_Care_Tbl[Active - نشط],Customer_Care_Tbl[Date - التاريخ],$A305))</f>
        <v/>
      </c>
      <c r="J305">
        <f>IF($A305&gt;TODAY(),"",SUMIFS(Customer_Care_Tbl[Close - مغلق],Customer_Care_Tbl[Date - التاريخ],$A305))</f>
        <v/>
      </c>
    </row>
    <row r="306">
      <c r="A306">
        <f>A305+1</f>
        <v/>
      </c>
      <c r="B306">
        <f>IF($A306&gt;TODAY(),"",IFERROR(INDEX(Credit_KPIs_Tbl[Total Financing Amount],MATCH($A306,Credit_KPIs_Tbl[Date - التاريخ],0)),""))</f>
        <v/>
      </c>
      <c r="C306">
        <f>IF($A306&gt;TODAY(),"",IFERROR(INDEX(Credit_KPIs_Tbl[Today Financing Amount],MATCH($A306,Credit_KPIs_Tbl[Date - التاريخ],0)),""))</f>
        <v/>
      </c>
      <c r="D306">
        <f>IF($A306&gt;TODAY(),"",IFERROR(INDEX(Credit_KPIs_Tbl[Total Number Contracts],MATCH($A306,Credit_KPIs_Tbl[Date - التاريخ],0)),""))</f>
        <v/>
      </c>
      <c r="E306">
        <f>IF($A306&gt;TODAY(),"",IFERROR(INDEX(Credit_KPIs_Tbl[Cancelled],MATCH($A306,Credit_KPIs_Tbl[Date - التاريخ],0)),""))</f>
        <v/>
      </c>
      <c r="F306">
        <f>IF($A306&gt;TODAY(),"",SUMIFS(Collection_Summary_Tbl[Amount - المبلغ],Collection_Summary_Tbl[Item - البند],"الاجمالي",Collection_Summary_Tbl[Date To - الى],$A306))</f>
        <v/>
      </c>
      <c r="G306">
        <f>IF($A306&gt;TODAY(),"",SUMIFS(Sales_Tbl[Count - العدد],Sales_Tbl[Date - التاريخ],$A306))</f>
        <v/>
      </c>
      <c r="H306">
        <f>IF($A306&gt;TODAY(),"",SUMIFS(Sales_Tbl[Count - العدد],Sales_Tbl[Status - الحالة],"Accepted - تم التنفيذ",Sales_Tbl[Date - التاريخ],$A306))</f>
        <v/>
      </c>
      <c r="I306">
        <f>IF($A306&gt;TODAY(),"",SUMIFS(Customer_Care_Tbl[Active - نشط],Customer_Care_Tbl[Date - التاريخ],$A306))</f>
        <v/>
      </c>
      <c r="J306">
        <f>IF($A306&gt;TODAY(),"",SUMIFS(Customer_Care_Tbl[Close - مغلق],Customer_Care_Tbl[Date - التاريخ],$A306))</f>
        <v/>
      </c>
    </row>
    <row r="307">
      <c r="A307">
        <f>A306+1</f>
        <v/>
      </c>
      <c r="B307">
        <f>IF($A307&gt;TODAY(),"",IFERROR(INDEX(Credit_KPIs_Tbl[Total Financing Amount],MATCH($A307,Credit_KPIs_Tbl[Date - التاريخ],0)),""))</f>
        <v/>
      </c>
      <c r="C307">
        <f>IF($A307&gt;TODAY(),"",IFERROR(INDEX(Credit_KPIs_Tbl[Today Financing Amount],MATCH($A307,Credit_KPIs_Tbl[Date - التاريخ],0)),""))</f>
        <v/>
      </c>
      <c r="D307">
        <f>IF($A307&gt;TODAY(),"",IFERROR(INDEX(Credit_KPIs_Tbl[Total Number Contracts],MATCH($A307,Credit_KPIs_Tbl[Date - التاريخ],0)),""))</f>
        <v/>
      </c>
      <c r="E307">
        <f>IF($A307&gt;TODAY(),"",IFERROR(INDEX(Credit_KPIs_Tbl[Cancelled],MATCH($A307,Credit_KPIs_Tbl[Date - التاريخ],0)),""))</f>
        <v/>
      </c>
      <c r="F307">
        <f>IF($A307&gt;TODAY(),"",SUMIFS(Collection_Summary_Tbl[Amount - المبلغ],Collection_Summary_Tbl[Item - البند],"الاجمالي",Collection_Summary_Tbl[Date To - الى],$A307))</f>
        <v/>
      </c>
      <c r="G307">
        <f>IF($A307&gt;TODAY(),"",SUMIFS(Sales_Tbl[Count - العدد],Sales_Tbl[Date - التاريخ],$A307))</f>
        <v/>
      </c>
      <c r="H307">
        <f>IF($A307&gt;TODAY(),"",SUMIFS(Sales_Tbl[Count - العدد],Sales_Tbl[Status - الحالة],"Accepted - تم التنفيذ",Sales_Tbl[Date - التاريخ],$A307))</f>
        <v/>
      </c>
      <c r="I307">
        <f>IF($A307&gt;TODAY(),"",SUMIFS(Customer_Care_Tbl[Active - نشط],Customer_Care_Tbl[Date - التاريخ],$A307))</f>
        <v/>
      </c>
      <c r="J307">
        <f>IF($A307&gt;TODAY(),"",SUMIFS(Customer_Care_Tbl[Close - مغلق],Customer_Care_Tbl[Date - التاريخ],$A307))</f>
        <v/>
      </c>
    </row>
    <row r="308">
      <c r="A308">
        <f>A307+1</f>
        <v/>
      </c>
      <c r="B308">
        <f>IF($A308&gt;TODAY(),"",IFERROR(INDEX(Credit_KPIs_Tbl[Total Financing Amount],MATCH($A308,Credit_KPIs_Tbl[Date - التاريخ],0)),""))</f>
        <v/>
      </c>
      <c r="C308">
        <f>IF($A308&gt;TODAY(),"",IFERROR(INDEX(Credit_KPIs_Tbl[Today Financing Amount],MATCH($A308,Credit_KPIs_Tbl[Date - التاريخ],0)),""))</f>
        <v/>
      </c>
      <c r="D308">
        <f>IF($A308&gt;TODAY(),"",IFERROR(INDEX(Credit_KPIs_Tbl[Total Number Contracts],MATCH($A308,Credit_KPIs_Tbl[Date - التاريخ],0)),""))</f>
        <v/>
      </c>
      <c r="E308">
        <f>IF($A308&gt;TODAY(),"",IFERROR(INDEX(Credit_KPIs_Tbl[Cancelled],MATCH($A308,Credit_KPIs_Tbl[Date - التاريخ],0)),""))</f>
        <v/>
      </c>
      <c r="F308">
        <f>IF($A308&gt;TODAY(),"",SUMIFS(Collection_Summary_Tbl[Amount - المبلغ],Collection_Summary_Tbl[Item - البند],"الاجمالي",Collection_Summary_Tbl[Date To - الى],$A308))</f>
        <v/>
      </c>
      <c r="G308">
        <f>IF($A308&gt;TODAY(),"",SUMIFS(Sales_Tbl[Count - العدد],Sales_Tbl[Date - التاريخ],$A308))</f>
        <v/>
      </c>
      <c r="H308">
        <f>IF($A308&gt;TODAY(),"",SUMIFS(Sales_Tbl[Count - العدد],Sales_Tbl[Status - الحالة],"Accepted - تم التنفيذ",Sales_Tbl[Date - التاريخ],$A308))</f>
        <v/>
      </c>
      <c r="I308">
        <f>IF($A308&gt;TODAY(),"",SUMIFS(Customer_Care_Tbl[Active - نشط],Customer_Care_Tbl[Date - التاريخ],$A308))</f>
        <v/>
      </c>
      <c r="J308">
        <f>IF($A308&gt;TODAY(),"",SUMIFS(Customer_Care_Tbl[Close - مغلق],Customer_Care_Tbl[Date - التاريخ],$A308))</f>
        <v/>
      </c>
    </row>
    <row r="309">
      <c r="A309">
        <f>A308+1</f>
        <v/>
      </c>
      <c r="B309">
        <f>IF($A309&gt;TODAY(),"",IFERROR(INDEX(Credit_KPIs_Tbl[Total Financing Amount],MATCH($A309,Credit_KPIs_Tbl[Date - التاريخ],0)),""))</f>
        <v/>
      </c>
      <c r="C309">
        <f>IF($A309&gt;TODAY(),"",IFERROR(INDEX(Credit_KPIs_Tbl[Today Financing Amount],MATCH($A309,Credit_KPIs_Tbl[Date - التاريخ],0)),""))</f>
        <v/>
      </c>
      <c r="D309">
        <f>IF($A309&gt;TODAY(),"",IFERROR(INDEX(Credit_KPIs_Tbl[Total Number Contracts],MATCH($A309,Credit_KPIs_Tbl[Date - التاريخ],0)),""))</f>
        <v/>
      </c>
      <c r="E309">
        <f>IF($A309&gt;TODAY(),"",IFERROR(INDEX(Credit_KPIs_Tbl[Cancelled],MATCH($A309,Credit_KPIs_Tbl[Date - التاريخ],0)),""))</f>
        <v/>
      </c>
      <c r="F309">
        <f>IF($A309&gt;TODAY(),"",SUMIFS(Collection_Summary_Tbl[Amount - المبلغ],Collection_Summary_Tbl[Item - البند],"الاجمالي",Collection_Summary_Tbl[Date To - الى],$A309))</f>
        <v/>
      </c>
      <c r="G309">
        <f>IF($A309&gt;TODAY(),"",SUMIFS(Sales_Tbl[Count - العدد],Sales_Tbl[Date - التاريخ],$A309))</f>
        <v/>
      </c>
      <c r="H309">
        <f>IF($A309&gt;TODAY(),"",SUMIFS(Sales_Tbl[Count - العدد],Sales_Tbl[Status - الحالة],"Accepted - تم التنفيذ",Sales_Tbl[Date - التاريخ],$A309))</f>
        <v/>
      </c>
      <c r="I309">
        <f>IF($A309&gt;TODAY(),"",SUMIFS(Customer_Care_Tbl[Active - نشط],Customer_Care_Tbl[Date - التاريخ],$A309))</f>
        <v/>
      </c>
      <c r="J309">
        <f>IF($A309&gt;TODAY(),"",SUMIFS(Customer_Care_Tbl[Close - مغلق],Customer_Care_Tbl[Date - التاريخ],$A309))</f>
        <v/>
      </c>
    </row>
    <row r="310">
      <c r="A310">
        <f>A309+1</f>
        <v/>
      </c>
      <c r="B310">
        <f>IF($A310&gt;TODAY(),"",IFERROR(INDEX(Credit_KPIs_Tbl[Total Financing Amount],MATCH($A310,Credit_KPIs_Tbl[Date - التاريخ],0)),""))</f>
        <v/>
      </c>
      <c r="C310">
        <f>IF($A310&gt;TODAY(),"",IFERROR(INDEX(Credit_KPIs_Tbl[Today Financing Amount],MATCH($A310,Credit_KPIs_Tbl[Date - التاريخ],0)),""))</f>
        <v/>
      </c>
      <c r="D310">
        <f>IF($A310&gt;TODAY(),"",IFERROR(INDEX(Credit_KPIs_Tbl[Total Number Contracts],MATCH($A310,Credit_KPIs_Tbl[Date - التاريخ],0)),""))</f>
        <v/>
      </c>
      <c r="E310">
        <f>IF($A310&gt;TODAY(),"",IFERROR(INDEX(Credit_KPIs_Tbl[Cancelled],MATCH($A310,Credit_KPIs_Tbl[Date - التاريخ],0)),""))</f>
        <v/>
      </c>
      <c r="F310">
        <f>IF($A310&gt;TODAY(),"",SUMIFS(Collection_Summary_Tbl[Amount - المبلغ],Collection_Summary_Tbl[Item - البند],"الاجمالي",Collection_Summary_Tbl[Date To - الى],$A310))</f>
        <v/>
      </c>
      <c r="G310">
        <f>IF($A310&gt;TODAY(),"",SUMIFS(Sales_Tbl[Count - العدد],Sales_Tbl[Date - التاريخ],$A310))</f>
        <v/>
      </c>
      <c r="H310">
        <f>IF($A310&gt;TODAY(),"",SUMIFS(Sales_Tbl[Count - العدد],Sales_Tbl[Status - الحالة],"Accepted - تم التنفيذ",Sales_Tbl[Date - التاريخ],$A310))</f>
        <v/>
      </c>
      <c r="I310">
        <f>IF($A310&gt;TODAY(),"",SUMIFS(Customer_Care_Tbl[Active - نشط],Customer_Care_Tbl[Date - التاريخ],$A310))</f>
        <v/>
      </c>
      <c r="J310">
        <f>IF($A310&gt;TODAY(),"",SUMIFS(Customer_Care_Tbl[Close - مغلق],Customer_Care_Tbl[Date - التاريخ],$A310))</f>
        <v/>
      </c>
    </row>
    <row r="311">
      <c r="A311">
        <f>A310+1</f>
        <v/>
      </c>
      <c r="B311">
        <f>IF($A311&gt;TODAY(),"",IFERROR(INDEX(Credit_KPIs_Tbl[Total Financing Amount],MATCH($A311,Credit_KPIs_Tbl[Date - التاريخ],0)),""))</f>
        <v/>
      </c>
      <c r="C311">
        <f>IF($A311&gt;TODAY(),"",IFERROR(INDEX(Credit_KPIs_Tbl[Today Financing Amount],MATCH($A311,Credit_KPIs_Tbl[Date - التاريخ],0)),""))</f>
        <v/>
      </c>
      <c r="D311">
        <f>IF($A311&gt;TODAY(),"",IFERROR(INDEX(Credit_KPIs_Tbl[Total Number Contracts],MATCH($A311,Credit_KPIs_Tbl[Date - التاريخ],0)),""))</f>
        <v/>
      </c>
      <c r="E311">
        <f>IF($A311&gt;TODAY(),"",IFERROR(INDEX(Credit_KPIs_Tbl[Cancelled],MATCH($A311,Credit_KPIs_Tbl[Date - التاريخ],0)),""))</f>
        <v/>
      </c>
      <c r="F311">
        <f>IF($A311&gt;TODAY(),"",SUMIFS(Collection_Summary_Tbl[Amount - المبلغ],Collection_Summary_Tbl[Item - البند],"الاجمالي",Collection_Summary_Tbl[Date To - الى],$A311))</f>
        <v/>
      </c>
      <c r="G311">
        <f>IF($A311&gt;TODAY(),"",SUMIFS(Sales_Tbl[Count - العدد],Sales_Tbl[Date - التاريخ],$A311))</f>
        <v/>
      </c>
      <c r="H311">
        <f>IF($A311&gt;TODAY(),"",SUMIFS(Sales_Tbl[Count - العدد],Sales_Tbl[Status - الحالة],"Accepted - تم التنفيذ",Sales_Tbl[Date - التاريخ],$A311))</f>
        <v/>
      </c>
      <c r="I311">
        <f>IF($A311&gt;TODAY(),"",SUMIFS(Customer_Care_Tbl[Active - نشط],Customer_Care_Tbl[Date - التاريخ],$A311))</f>
        <v/>
      </c>
      <c r="J311">
        <f>IF($A311&gt;TODAY(),"",SUMIFS(Customer_Care_Tbl[Close - مغلق],Customer_Care_Tbl[Date - التاريخ],$A311))</f>
        <v/>
      </c>
    </row>
    <row r="312">
      <c r="A312">
        <f>A311+1</f>
        <v/>
      </c>
      <c r="B312">
        <f>IF($A312&gt;TODAY(),"",IFERROR(INDEX(Credit_KPIs_Tbl[Total Financing Amount],MATCH($A312,Credit_KPIs_Tbl[Date - التاريخ],0)),""))</f>
        <v/>
      </c>
      <c r="C312">
        <f>IF($A312&gt;TODAY(),"",IFERROR(INDEX(Credit_KPIs_Tbl[Today Financing Amount],MATCH($A312,Credit_KPIs_Tbl[Date - التاريخ],0)),""))</f>
        <v/>
      </c>
      <c r="D312">
        <f>IF($A312&gt;TODAY(),"",IFERROR(INDEX(Credit_KPIs_Tbl[Total Number Contracts],MATCH($A312,Credit_KPIs_Tbl[Date - التاريخ],0)),""))</f>
        <v/>
      </c>
      <c r="E312">
        <f>IF($A312&gt;TODAY(),"",IFERROR(INDEX(Credit_KPIs_Tbl[Cancelled],MATCH($A312,Credit_KPIs_Tbl[Date - التاريخ],0)),""))</f>
        <v/>
      </c>
      <c r="F312">
        <f>IF($A312&gt;TODAY(),"",SUMIFS(Collection_Summary_Tbl[Amount - المبلغ],Collection_Summary_Tbl[Item - البند],"الاجمالي",Collection_Summary_Tbl[Date To - الى],$A312))</f>
        <v/>
      </c>
      <c r="G312">
        <f>IF($A312&gt;TODAY(),"",SUMIFS(Sales_Tbl[Count - العدد],Sales_Tbl[Date - التاريخ],$A312))</f>
        <v/>
      </c>
      <c r="H312">
        <f>IF($A312&gt;TODAY(),"",SUMIFS(Sales_Tbl[Count - العدد],Sales_Tbl[Status - الحالة],"Accepted - تم التنفيذ",Sales_Tbl[Date - التاريخ],$A312))</f>
        <v/>
      </c>
      <c r="I312">
        <f>IF($A312&gt;TODAY(),"",SUMIFS(Customer_Care_Tbl[Active - نشط],Customer_Care_Tbl[Date - التاريخ],$A312))</f>
        <v/>
      </c>
      <c r="J312">
        <f>IF($A312&gt;TODAY(),"",SUMIFS(Customer_Care_Tbl[Close - مغلق],Customer_Care_Tbl[Date - التاريخ],$A312))</f>
        <v/>
      </c>
    </row>
    <row r="313">
      <c r="A313">
        <f>A312+1</f>
        <v/>
      </c>
      <c r="B313">
        <f>IF($A313&gt;TODAY(),"",IFERROR(INDEX(Credit_KPIs_Tbl[Total Financing Amount],MATCH($A313,Credit_KPIs_Tbl[Date - التاريخ],0)),""))</f>
        <v/>
      </c>
      <c r="C313">
        <f>IF($A313&gt;TODAY(),"",IFERROR(INDEX(Credit_KPIs_Tbl[Today Financing Amount],MATCH($A313,Credit_KPIs_Tbl[Date - التاريخ],0)),""))</f>
        <v/>
      </c>
      <c r="D313">
        <f>IF($A313&gt;TODAY(),"",IFERROR(INDEX(Credit_KPIs_Tbl[Total Number Contracts],MATCH($A313,Credit_KPIs_Tbl[Date - التاريخ],0)),""))</f>
        <v/>
      </c>
      <c r="E313">
        <f>IF($A313&gt;TODAY(),"",IFERROR(INDEX(Credit_KPIs_Tbl[Cancelled],MATCH($A313,Credit_KPIs_Tbl[Date - التاريخ],0)),""))</f>
        <v/>
      </c>
      <c r="F313">
        <f>IF($A313&gt;TODAY(),"",SUMIFS(Collection_Summary_Tbl[Amount - المبلغ],Collection_Summary_Tbl[Item - البند],"الاجمالي",Collection_Summary_Tbl[Date To - الى],$A313))</f>
        <v/>
      </c>
      <c r="G313">
        <f>IF($A313&gt;TODAY(),"",SUMIFS(Sales_Tbl[Count - العدد],Sales_Tbl[Date - التاريخ],$A313))</f>
        <v/>
      </c>
      <c r="H313">
        <f>IF($A313&gt;TODAY(),"",SUMIFS(Sales_Tbl[Count - العدد],Sales_Tbl[Status - الحالة],"Accepted - تم التنفيذ",Sales_Tbl[Date - التاريخ],$A313))</f>
        <v/>
      </c>
      <c r="I313">
        <f>IF($A313&gt;TODAY(),"",SUMIFS(Customer_Care_Tbl[Active - نشط],Customer_Care_Tbl[Date - التاريخ],$A313))</f>
        <v/>
      </c>
      <c r="J313">
        <f>IF($A313&gt;TODAY(),"",SUMIFS(Customer_Care_Tbl[Close - مغلق],Customer_Care_Tbl[Date - التاريخ],$A313))</f>
        <v/>
      </c>
    </row>
    <row r="314">
      <c r="A314">
        <f>A313+1</f>
        <v/>
      </c>
      <c r="B314">
        <f>IF($A314&gt;TODAY(),"",IFERROR(INDEX(Credit_KPIs_Tbl[Total Financing Amount],MATCH($A314,Credit_KPIs_Tbl[Date - التاريخ],0)),""))</f>
        <v/>
      </c>
      <c r="C314">
        <f>IF($A314&gt;TODAY(),"",IFERROR(INDEX(Credit_KPIs_Tbl[Today Financing Amount],MATCH($A314,Credit_KPIs_Tbl[Date - التاريخ],0)),""))</f>
        <v/>
      </c>
      <c r="D314">
        <f>IF($A314&gt;TODAY(),"",IFERROR(INDEX(Credit_KPIs_Tbl[Total Number Contracts],MATCH($A314,Credit_KPIs_Tbl[Date - التاريخ],0)),""))</f>
        <v/>
      </c>
      <c r="E314">
        <f>IF($A314&gt;TODAY(),"",IFERROR(INDEX(Credit_KPIs_Tbl[Cancelled],MATCH($A314,Credit_KPIs_Tbl[Date - التاريخ],0)),""))</f>
        <v/>
      </c>
      <c r="F314">
        <f>IF($A314&gt;TODAY(),"",SUMIFS(Collection_Summary_Tbl[Amount - المبلغ],Collection_Summary_Tbl[Item - البند],"الاجمالي",Collection_Summary_Tbl[Date To - الى],$A314))</f>
        <v/>
      </c>
      <c r="G314">
        <f>IF($A314&gt;TODAY(),"",SUMIFS(Sales_Tbl[Count - العدد],Sales_Tbl[Date - التاريخ],$A314))</f>
        <v/>
      </c>
      <c r="H314">
        <f>IF($A314&gt;TODAY(),"",SUMIFS(Sales_Tbl[Count - العدد],Sales_Tbl[Status - الحالة],"Accepted - تم التنفيذ",Sales_Tbl[Date - التاريخ],$A314))</f>
        <v/>
      </c>
      <c r="I314">
        <f>IF($A314&gt;TODAY(),"",SUMIFS(Customer_Care_Tbl[Active - نشط],Customer_Care_Tbl[Date - التاريخ],$A314))</f>
        <v/>
      </c>
      <c r="J314">
        <f>IF($A314&gt;TODAY(),"",SUMIFS(Customer_Care_Tbl[Close - مغلق],Customer_Care_Tbl[Date - التاريخ],$A314))</f>
        <v/>
      </c>
    </row>
    <row r="315">
      <c r="A315">
        <f>A314+1</f>
        <v/>
      </c>
      <c r="B315">
        <f>IF($A315&gt;TODAY(),"",IFERROR(INDEX(Credit_KPIs_Tbl[Total Financing Amount],MATCH($A315,Credit_KPIs_Tbl[Date - التاريخ],0)),""))</f>
        <v/>
      </c>
      <c r="C315">
        <f>IF($A315&gt;TODAY(),"",IFERROR(INDEX(Credit_KPIs_Tbl[Today Financing Amount],MATCH($A315,Credit_KPIs_Tbl[Date - التاريخ],0)),""))</f>
        <v/>
      </c>
      <c r="D315">
        <f>IF($A315&gt;TODAY(),"",IFERROR(INDEX(Credit_KPIs_Tbl[Total Number Contracts],MATCH($A315,Credit_KPIs_Tbl[Date - التاريخ],0)),""))</f>
        <v/>
      </c>
      <c r="E315">
        <f>IF($A315&gt;TODAY(),"",IFERROR(INDEX(Credit_KPIs_Tbl[Cancelled],MATCH($A315,Credit_KPIs_Tbl[Date - التاريخ],0)),""))</f>
        <v/>
      </c>
      <c r="F315">
        <f>IF($A315&gt;TODAY(),"",SUMIFS(Collection_Summary_Tbl[Amount - المبلغ],Collection_Summary_Tbl[Item - البند],"الاجمالي",Collection_Summary_Tbl[Date To - الى],$A315))</f>
        <v/>
      </c>
      <c r="G315">
        <f>IF($A315&gt;TODAY(),"",SUMIFS(Sales_Tbl[Count - العدد],Sales_Tbl[Date - التاريخ],$A315))</f>
        <v/>
      </c>
      <c r="H315">
        <f>IF($A315&gt;TODAY(),"",SUMIFS(Sales_Tbl[Count - العدد],Sales_Tbl[Status - الحالة],"Accepted - تم التنفيذ",Sales_Tbl[Date - التاريخ],$A315))</f>
        <v/>
      </c>
      <c r="I315">
        <f>IF($A315&gt;TODAY(),"",SUMIFS(Customer_Care_Tbl[Active - نشط],Customer_Care_Tbl[Date - التاريخ],$A315))</f>
        <v/>
      </c>
      <c r="J315">
        <f>IF($A315&gt;TODAY(),"",SUMIFS(Customer_Care_Tbl[Close - مغلق],Customer_Care_Tbl[Date - التاريخ],$A315))</f>
        <v/>
      </c>
    </row>
    <row r="316">
      <c r="A316">
        <f>A315+1</f>
        <v/>
      </c>
      <c r="B316">
        <f>IF($A316&gt;TODAY(),"",IFERROR(INDEX(Credit_KPIs_Tbl[Total Financing Amount],MATCH($A316,Credit_KPIs_Tbl[Date - التاريخ],0)),""))</f>
        <v/>
      </c>
      <c r="C316">
        <f>IF($A316&gt;TODAY(),"",IFERROR(INDEX(Credit_KPIs_Tbl[Today Financing Amount],MATCH($A316,Credit_KPIs_Tbl[Date - التاريخ],0)),""))</f>
        <v/>
      </c>
      <c r="D316">
        <f>IF($A316&gt;TODAY(),"",IFERROR(INDEX(Credit_KPIs_Tbl[Total Number Contracts],MATCH($A316,Credit_KPIs_Tbl[Date - التاريخ],0)),""))</f>
        <v/>
      </c>
      <c r="E316">
        <f>IF($A316&gt;TODAY(),"",IFERROR(INDEX(Credit_KPIs_Tbl[Cancelled],MATCH($A316,Credit_KPIs_Tbl[Date - التاريخ],0)),""))</f>
        <v/>
      </c>
      <c r="F316">
        <f>IF($A316&gt;TODAY(),"",SUMIFS(Collection_Summary_Tbl[Amount - المبلغ],Collection_Summary_Tbl[Item - البند],"الاجمالي",Collection_Summary_Tbl[Date To - الى],$A316))</f>
        <v/>
      </c>
      <c r="G316">
        <f>IF($A316&gt;TODAY(),"",SUMIFS(Sales_Tbl[Count - العدد],Sales_Tbl[Date - التاريخ],$A316))</f>
        <v/>
      </c>
      <c r="H316">
        <f>IF($A316&gt;TODAY(),"",SUMIFS(Sales_Tbl[Count - العدد],Sales_Tbl[Status - الحالة],"Accepted - تم التنفيذ",Sales_Tbl[Date - التاريخ],$A316))</f>
        <v/>
      </c>
      <c r="I316">
        <f>IF($A316&gt;TODAY(),"",SUMIFS(Customer_Care_Tbl[Active - نشط],Customer_Care_Tbl[Date - التاريخ],$A316))</f>
        <v/>
      </c>
      <c r="J316">
        <f>IF($A316&gt;TODAY(),"",SUMIFS(Customer_Care_Tbl[Close - مغلق],Customer_Care_Tbl[Date - التاريخ],$A316))</f>
        <v/>
      </c>
    </row>
    <row r="317">
      <c r="A317">
        <f>A316+1</f>
        <v/>
      </c>
      <c r="B317">
        <f>IF($A317&gt;TODAY(),"",IFERROR(INDEX(Credit_KPIs_Tbl[Total Financing Amount],MATCH($A317,Credit_KPIs_Tbl[Date - التاريخ],0)),""))</f>
        <v/>
      </c>
      <c r="C317">
        <f>IF($A317&gt;TODAY(),"",IFERROR(INDEX(Credit_KPIs_Tbl[Today Financing Amount],MATCH($A317,Credit_KPIs_Tbl[Date - التاريخ],0)),""))</f>
        <v/>
      </c>
      <c r="D317">
        <f>IF($A317&gt;TODAY(),"",IFERROR(INDEX(Credit_KPIs_Tbl[Total Number Contracts],MATCH($A317,Credit_KPIs_Tbl[Date - التاريخ],0)),""))</f>
        <v/>
      </c>
      <c r="E317">
        <f>IF($A317&gt;TODAY(),"",IFERROR(INDEX(Credit_KPIs_Tbl[Cancelled],MATCH($A317,Credit_KPIs_Tbl[Date - التاريخ],0)),""))</f>
        <v/>
      </c>
      <c r="F317">
        <f>IF($A317&gt;TODAY(),"",SUMIFS(Collection_Summary_Tbl[Amount - المبلغ],Collection_Summary_Tbl[Item - البند],"الاجمالي",Collection_Summary_Tbl[Date To - الى],$A317))</f>
        <v/>
      </c>
      <c r="G317">
        <f>IF($A317&gt;TODAY(),"",SUMIFS(Sales_Tbl[Count - العدد],Sales_Tbl[Date - التاريخ],$A317))</f>
        <v/>
      </c>
      <c r="H317">
        <f>IF($A317&gt;TODAY(),"",SUMIFS(Sales_Tbl[Count - العدد],Sales_Tbl[Status - الحالة],"Accepted - تم التنفيذ",Sales_Tbl[Date - التاريخ],$A317))</f>
        <v/>
      </c>
      <c r="I317">
        <f>IF($A317&gt;TODAY(),"",SUMIFS(Customer_Care_Tbl[Active - نشط],Customer_Care_Tbl[Date - التاريخ],$A317))</f>
        <v/>
      </c>
      <c r="J317">
        <f>IF($A317&gt;TODAY(),"",SUMIFS(Customer_Care_Tbl[Close - مغلق],Customer_Care_Tbl[Date - التاريخ],$A317))</f>
        <v/>
      </c>
    </row>
    <row r="318">
      <c r="A318">
        <f>A317+1</f>
        <v/>
      </c>
      <c r="B318">
        <f>IF($A318&gt;TODAY(),"",IFERROR(INDEX(Credit_KPIs_Tbl[Total Financing Amount],MATCH($A318,Credit_KPIs_Tbl[Date - التاريخ],0)),""))</f>
        <v/>
      </c>
      <c r="C318">
        <f>IF($A318&gt;TODAY(),"",IFERROR(INDEX(Credit_KPIs_Tbl[Today Financing Amount],MATCH($A318,Credit_KPIs_Tbl[Date - التاريخ],0)),""))</f>
        <v/>
      </c>
      <c r="D318">
        <f>IF($A318&gt;TODAY(),"",IFERROR(INDEX(Credit_KPIs_Tbl[Total Number Contracts],MATCH($A318,Credit_KPIs_Tbl[Date - التاريخ],0)),""))</f>
        <v/>
      </c>
      <c r="E318">
        <f>IF($A318&gt;TODAY(),"",IFERROR(INDEX(Credit_KPIs_Tbl[Cancelled],MATCH($A318,Credit_KPIs_Tbl[Date - التاريخ],0)),""))</f>
        <v/>
      </c>
      <c r="F318">
        <f>IF($A318&gt;TODAY(),"",SUMIFS(Collection_Summary_Tbl[Amount - المبلغ],Collection_Summary_Tbl[Item - البند],"الاجمالي",Collection_Summary_Tbl[Date To - الى],$A318))</f>
        <v/>
      </c>
      <c r="G318">
        <f>IF($A318&gt;TODAY(),"",SUMIFS(Sales_Tbl[Count - العدد],Sales_Tbl[Date - التاريخ],$A318))</f>
        <v/>
      </c>
      <c r="H318">
        <f>IF($A318&gt;TODAY(),"",SUMIFS(Sales_Tbl[Count - العدد],Sales_Tbl[Status - الحالة],"Accepted - تم التنفيذ",Sales_Tbl[Date - التاريخ],$A318))</f>
        <v/>
      </c>
      <c r="I318">
        <f>IF($A318&gt;TODAY(),"",SUMIFS(Customer_Care_Tbl[Active - نشط],Customer_Care_Tbl[Date - التاريخ],$A318))</f>
        <v/>
      </c>
      <c r="J318">
        <f>IF($A318&gt;TODAY(),"",SUMIFS(Customer_Care_Tbl[Close - مغلق],Customer_Care_Tbl[Date - التاريخ],$A318))</f>
        <v/>
      </c>
    </row>
    <row r="319">
      <c r="A319">
        <f>A318+1</f>
        <v/>
      </c>
      <c r="B319">
        <f>IF($A319&gt;TODAY(),"",IFERROR(INDEX(Credit_KPIs_Tbl[Total Financing Amount],MATCH($A319,Credit_KPIs_Tbl[Date - التاريخ],0)),""))</f>
        <v/>
      </c>
      <c r="C319">
        <f>IF($A319&gt;TODAY(),"",IFERROR(INDEX(Credit_KPIs_Tbl[Today Financing Amount],MATCH($A319,Credit_KPIs_Tbl[Date - التاريخ],0)),""))</f>
        <v/>
      </c>
      <c r="D319">
        <f>IF($A319&gt;TODAY(),"",IFERROR(INDEX(Credit_KPIs_Tbl[Total Number Contracts],MATCH($A319,Credit_KPIs_Tbl[Date - التاريخ],0)),""))</f>
        <v/>
      </c>
      <c r="E319">
        <f>IF($A319&gt;TODAY(),"",IFERROR(INDEX(Credit_KPIs_Tbl[Cancelled],MATCH($A319,Credit_KPIs_Tbl[Date - التاريخ],0)),""))</f>
        <v/>
      </c>
      <c r="F319">
        <f>IF($A319&gt;TODAY(),"",SUMIFS(Collection_Summary_Tbl[Amount - المبلغ],Collection_Summary_Tbl[Item - البند],"الاجمالي",Collection_Summary_Tbl[Date To - الى],$A319))</f>
        <v/>
      </c>
      <c r="G319">
        <f>IF($A319&gt;TODAY(),"",SUMIFS(Sales_Tbl[Count - العدد],Sales_Tbl[Date - التاريخ],$A319))</f>
        <v/>
      </c>
      <c r="H319">
        <f>IF($A319&gt;TODAY(),"",SUMIFS(Sales_Tbl[Count - العدد],Sales_Tbl[Status - الحالة],"Accepted - تم التنفيذ",Sales_Tbl[Date - التاريخ],$A319))</f>
        <v/>
      </c>
      <c r="I319">
        <f>IF($A319&gt;TODAY(),"",SUMIFS(Customer_Care_Tbl[Active - نشط],Customer_Care_Tbl[Date - التاريخ],$A319))</f>
        <v/>
      </c>
      <c r="J319">
        <f>IF($A319&gt;TODAY(),"",SUMIFS(Customer_Care_Tbl[Close - مغلق],Customer_Care_Tbl[Date - التاريخ],$A319))</f>
        <v/>
      </c>
    </row>
    <row r="320">
      <c r="A320">
        <f>A319+1</f>
        <v/>
      </c>
      <c r="B320">
        <f>IF($A320&gt;TODAY(),"",IFERROR(INDEX(Credit_KPIs_Tbl[Total Financing Amount],MATCH($A320,Credit_KPIs_Tbl[Date - التاريخ],0)),""))</f>
        <v/>
      </c>
      <c r="C320">
        <f>IF($A320&gt;TODAY(),"",IFERROR(INDEX(Credit_KPIs_Tbl[Today Financing Amount],MATCH($A320,Credit_KPIs_Tbl[Date - التاريخ],0)),""))</f>
        <v/>
      </c>
      <c r="D320">
        <f>IF($A320&gt;TODAY(),"",IFERROR(INDEX(Credit_KPIs_Tbl[Total Number Contracts],MATCH($A320,Credit_KPIs_Tbl[Date - التاريخ],0)),""))</f>
        <v/>
      </c>
      <c r="E320">
        <f>IF($A320&gt;TODAY(),"",IFERROR(INDEX(Credit_KPIs_Tbl[Cancelled],MATCH($A320,Credit_KPIs_Tbl[Date - التاريخ],0)),""))</f>
        <v/>
      </c>
      <c r="F320">
        <f>IF($A320&gt;TODAY(),"",SUMIFS(Collection_Summary_Tbl[Amount - المبلغ],Collection_Summary_Tbl[Item - البند],"الاجمالي",Collection_Summary_Tbl[Date To - الى],$A320))</f>
        <v/>
      </c>
      <c r="G320">
        <f>IF($A320&gt;TODAY(),"",SUMIFS(Sales_Tbl[Count - العدد],Sales_Tbl[Date - التاريخ],$A320))</f>
        <v/>
      </c>
      <c r="H320">
        <f>IF($A320&gt;TODAY(),"",SUMIFS(Sales_Tbl[Count - العدد],Sales_Tbl[Status - الحالة],"Accepted - تم التنفيذ",Sales_Tbl[Date - التاريخ],$A320))</f>
        <v/>
      </c>
      <c r="I320">
        <f>IF($A320&gt;TODAY(),"",SUMIFS(Customer_Care_Tbl[Active - نشط],Customer_Care_Tbl[Date - التاريخ],$A320))</f>
        <v/>
      </c>
      <c r="J320">
        <f>IF($A320&gt;TODAY(),"",SUMIFS(Customer_Care_Tbl[Close - مغلق],Customer_Care_Tbl[Date - التاريخ],$A320))</f>
        <v/>
      </c>
    </row>
    <row r="321">
      <c r="A321">
        <f>A320+1</f>
        <v/>
      </c>
      <c r="B321">
        <f>IF($A321&gt;TODAY(),"",IFERROR(INDEX(Credit_KPIs_Tbl[Total Financing Amount],MATCH($A321,Credit_KPIs_Tbl[Date - التاريخ],0)),""))</f>
        <v/>
      </c>
      <c r="C321">
        <f>IF($A321&gt;TODAY(),"",IFERROR(INDEX(Credit_KPIs_Tbl[Today Financing Amount],MATCH($A321,Credit_KPIs_Tbl[Date - التاريخ],0)),""))</f>
        <v/>
      </c>
      <c r="D321">
        <f>IF($A321&gt;TODAY(),"",IFERROR(INDEX(Credit_KPIs_Tbl[Total Number Contracts],MATCH($A321,Credit_KPIs_Tbl[Date - التاريخ],0)),""))</f>
        <v/>
      </c>
      <c r="E321">
        <f>IF($A321&gt;TODAY(),"",IFERROR(INDEX(Credit_KPIs_Tbl[Cancelled],MATCH($A321,Credit_KPIs_Tbl[Date - التاريخ],0)),""))</f>
        <v/>
      </c>
      <c r="F321">
        <f>IF($A321&gt;TODAY(),"",SUMIFS(Collection_Summary_Tbl[Amount - المبلغ],Collection_Summary_Tbl[Item - البند],"الاجمالي",Collection_Summary_Tbl[Date To - الى],$A321))</f>
        <v/>
      </c>
      <c r="G321">
        <f>IF($A321&gt;TODAY(),"",SUMIFS(Sales_Tbl[Count - العدد],Sales_Tbl[Date - التاريخ],$A321))</f>
        <v/>
      </c>
      <c r="H321">
        <f>IF($A321&gt;TODAY(),"",SUMIFS(Sales_Tbl[Count - العدد],Sales_Tbl[Status - الحالة],"Accepted - تم التنفيذ",Sales_Tbl[Date - التاريخ],$A321))</f>
        <v/>
      </c>
      <c r="I321">
        <f>IF($A321&gt;TODAY(),"",SUMIFS(Customer_Care_Tbl[Active - نشط],Customer_Care_Tbl[Date - التاريخ],$A321))</f>
        <v/>
      </c>
      <c r="J321">
        <f>IF($A321&gt;TODAY(),"",SUMIFS(Customer_Care_Tbl[Close - مغلق],Customer_Care_Tbl[Date - التاريخ],$A321))</f>
        <v/>
      </c>
    </row>
    <row r="322">
      <c r="A322">
        <f>A321+1</f>
        <v/>
      </c>
      <c r="B322">
        <f>IF($A322&gt;TODAY(),"",IFERROR(INDEX(Credit_KPIs_Tbl[Total Financing Amount],MATCH($A322,Credit_KPIs_Tbl[Date - التاريخ],0)),""))</f>
        <v/>
      </c>
      <c r="C322">
        <f>IF($A322&gt;TODAY(),"",IFERROR(INDEX(Credit_KPIs_Tbl[Today Financing Amount],MATCH($A322,Credit_KPIs_Tbl[Date - التاريخ],0)),""))</f>
        <v/>
      </c>
      <c r="D322">
        <f>IF($A322&gt;TODAY(),"",IFERROR(INDEX(Credit_KPIs_Tbl[Total Number Contracts],MATCH($A322,Credit_KPIs_Tbl[Date - التاريخ],0)),""))</f>
        <v/>
      </c>
      <c r="E322">
        <f>IF($A322&gt;TODAY(),"",IFERROR(INDEX(Credit_KPIs_Tbl[Cancelled],MATCH($A322,Credit_KPIs_Tbl[Date - التاريخ],0)),""))</f>
        <v/>
      </c>
      <c r="F322">
        <f>IF($A322&gt;TODAY(),"",SUMIFS(Collection_Summary_Tbl[Amount - المبلغ],Collection_Summary_Tbl[Item - البند],"الاجمالي",Collection_Summary_Tbl[Date To - الى],$A322))</f>
        <v/>
      </c>
      <c r="G322">
        <f>IF($A322&gt;TODAY(),"",SUMIFS(Sales_Tbl[Count - العدد],Sales_Tbl[Date - التاريخ],$A322))</f>
        <v/>
      </c>
      <c r="H322">
        <f>IF($A322&gt;TODAY(),"",SUMIFS(Sales_Tbl[Count - العدد],Sales_Tbl[Status - الحالة],"Accepted - تم التنفيذ",Sales_Tbl[Date - التاريخ],$A322))</f>
        <v/>
      </c>
      <c r="I322">
        <f>IF($A322&gt;TODAY(),"",SUMIFS(Customer_Care_Tbl[Active - نشط],Customer_Care_Tbl[Date - التاريخ],$A322))</f>
        <v/>
      </c>
      <c r="J322">
        <f>IF($A322&gt;TODAY(),"",SUMIFS(Customer_Care_Tbl[Close - مغلق],Customer_Care_Tbl[Date - التاريخ],$A322))</f>
        <v/>
      </c>
    </row>
    <row r="323">
      <c r="A323">
        <f>A322+1</f>
        <v/>
      </c>
      <c r="B323">
        <f>IF($A323&gt;TODAY(),"",IFERROR(INDEX(Credit_KPIs_Tbl[Total Financing Amount],MATCH($A323,Credit_KPIs_Tbl[Date - التاريخ],0)),""))</f>
        <v/>
      </c>
      <c r="C323">
        <f>IF($A323&gt;TODAY(),"",IFERROR(INDEX(Credit_KPIs_Tbl[Today Financing Amount],MATCH($A323,Credit_KPIs_Tbl[Date - التاريخ],0)),""))</f>
        <v/>
      </c>
      <c r="D323">
        <f>IF($A323&gt;TODAY(),"",IFERROR(INDEX(Credit_KPIs_Tbl[Total Number Contracts],MATCH($A323,Credit_KPIs_Tbl[Date - التاريخ],0)),""))</f>
        <v/>
      </c>
      <c r="E323">
        <f>IF($A323&gt;TODAY(),"",IFERROR(INDEX(Credit_KPIs_Tbl[Cancelled],MATCH($A323,Credit_KPIs_Tbl[Date - التاريخ],0)),""))</f>
        <v/>
      </c>
      <c r="F323">
        <f>IF($A323&gt;TODAY(),"",SUMIFS(Collection_Summary_Tbl[Amount - المبلغ],Collection_Summary_Tbl[Item - البند],"الاجمالي",Collection_Summary_Tbl[Date To - الى],$A323))</f>
        <v/>
      </c>
      <c r="G323">
        <f>IF($A323&gt;TODAY(),"",SUMIFS(Sales_Tbl[Count - العدد],Sales_Tbl[Date - التاريخ],$A323))</f>
        <v/>
      </c>
      <c r="H323">
        <f>IF($A323&gt;TODAY(),"",SUMIFS(Sales_Tbl[Count - العدد],Sales_Tbl[Status - الحالة],"Accepted - تم التنفيذ",Sales_Tbl[Date - التاريخ],$A323))</f>
        <v/>
      </c>
      <c r="I323">
        <f>IF($A323&gt;TODAY(),"",SUMIFS(Customer_Care_Tbl[Active - نشط],Customer_Care_Tbl[Date - التاريخ],$A323))</f>
        <v/>
      </c>
      <c r="J323">
        <f>IF($A323&gt;TODAY(),"",SUMIFS(Customer_Care_Tbl[Close - مغلق],Customer_Care_Tbl[Date - التاريخ],$A323))</f>
        <v/>
      </c>
    </row>
    <row r="324">
      <c r="A324">
        <f>A323+1</f>
        <v/>
      </c>
      <c r="B324">
        <f>IF($A324&gt;TODAY(),"",IFERROR(INDEX(Credit_KPIs_Tbl[Total Financing Amount],MATCH($A324,Credit_KPIs_Tbl[Date - التاريخ],0)),""))</f>
        <v/>
      </c>
      <c r="C324">
        <f>IF($A324&gt;TODAY(),"",IFERROR(INDEX(Credit_KPIs_Tbl[Today Financing Amount],MATCH($A324,Credit_KPIs_Tbl[Date - التاريخ],0)),""))</f>
        <v/>
      </c>
      <c r="D324">
        <f>IF($A324&gt;TODAY(),"",IFERROR(INDEX(Credit_KPIs_Tbl[Total Number Contracts],MATCH($A324,Credit_KPIs_Tbl[Date - التاريخ],0)),""))</f>
        <v/>
      </c>
      <c r="E324">
        <f>IF($A324&gt;TODAY(),"",IFERROR(INDEX(Credit_KPIs_Tbl[Cancelled],MATCH($A324,Credit_KPIs_Tbl[Date - التاريخ],0)),""))</f>
        <v/>
      </c>
      <c r="F324">
        <f>IF($A324&gt;TODAY(),"",SUMIFS(Collection_Summary_Tbl[Amount - المبلغ],Collection_Summary_Tbl[Item - البند],"الاجمالي",Collection_Summary_Tbl[Date To - الى],$A324))</f>
        <v/>
      </c>
      <c r="G324">
        <f>IF($A324&gt;TODAY(),"",SUMIFS(Sales_Tbl[Count - العدد],Sales_Tbl[Date - التاريخ],$A324))</f>
        <v/>
      </c>
      <c r="H324">
        <f>IF($A324&gt;TODAY(),"",SUMIFS(Sales_Tbl[Count - العدد],Sales_Tbl[Status - الحالة],"Accepted - تم التنفيذ",Sales_Tbl[Date - التاريخ],$A324))</f>
        <v/>
      </c>
      <c r="I324">
        <f>IF($A324&gt;TODAY(),"",SUMIFS(Customer_Care_Tbl[Active - نشط],Customer_Care_Tbl[Date - التاريخ],$A324))</f>
        <v/>
      </c>
      <c r="J324">
        <f>IF($A324&gt;TODAY(),"",SUMIFS(Customer_Care_Tbl[Close - مغلق],Customer_Care_Tbl[Date - التاريخ],$A324))</f>
        <v/>
      </c>
    </row>
    <row r="325">
      <c r="A325">
        <f>A324+1</f>
        <v/>
      </c>
      <c r="B325">
        <f>IF($A325&gt;TODAY(),"",IFERROR(INDEX(Credit_KPIs_Tbl[Total Financing Amount],MATCH($A325,Credit_KPIs_Tbl[Date - التاريخ],0)),""))</f>
        <v/>
      </c>
      <c r="C325">
        <f>IF($A325&gt;TODAY(),"",IFERROR(INDEX(Credit_KPIs_Tbl[Today Financing Amount],MATCH($A325,Credit_KPIs_Tbl[Date - التاريخ],0)),""))</f>
        <v/>
      </c>
      <c r="D325">
        <f>IF($A325&gt;TODAY(),"",IFERROR(INDEX(Credit_KPIs_Tbl[Total Number Contracts],MATCH($A325,Credit_KPIs_Tbl[Date - التاريخ],0)),""))</f>
        <v/>
      </c>
      <c r="E325">
        <f>IF($A325&gt;TODAY(),"",IFERROR(INDEX(Credit_KPIs_Tbl[Cancelled],MATCH($A325,Credit_KPIs_Tbl[Date - التاريخ],0)),""))</f>
        <v/>
      </c>
      <c r="F325">
        <f>IF($A325&gt;TODAY(),"",SUMIFS(Collection_Summary_Tbl[Amount - المبلغ],Collection_Summary_Tbl[Item - البند],"الاجمالي",Collection_Summary_Tbl[Date To - الى],$A325))</f>
        <v/>
      </c>
      <c r="G325">
        <f>IF($A325&gt;TODAY(),"",SUMIFS(Sales_Tbl[Count - العدد],Sales_Tbl[Date - التاريخ],$A325))</f>
        <v/>
      </c>
      <c r="H325">
        <f>IF($A325&gt;TODAY(),"",SUMIFS(Sales_Tbl[Count - العدد],Sales_Tbl[Status - الحالة],"Accepted - تم التنفيذ",Sales_Tbl[Date - التاريخ],$A325))</f>
        <v/>
      </c>
      <c r="I325">
        <f>IF($A325&gt;TODAY(),"",SUMIFS(Customer_Care_Tbl[Active - نشط],Customer_Care_Tbl[Date - التاريخ],$A325))</f>
        <v/>
      </c>
      <c r="J325">
        <f>IF($A325&gt;TODAY(),"",SUMIFS(Customer_Care_Tbl[Close - مغلق],Customer_Care_Tbl[Date - التاريخ],$A325))</f>
        <v/>
      </c>
    </row>
    <row r="326">
      <c r="A326">
        <f>A325+1</f>
        <v/>
      </c>
      <c r="B326">
        <f>IF($A326&gt;TODAY(),"",IFERROR(INDEX(Credit_KPIs_Tbl[Total Financing Amount],MATCH($A326,Credit_KPIs_Tbl[Date - التاريخ],0)),""))</f>
        <v/>
      </c>
      <c r="C326">
        <f>IF($A326&gt;TODAY(),"",IFERROR(INDEX(Credit_KPIs_Tbl[Today Financing Amount],MATCH($A326,Credit_KPIs_Tbl[Date - التاريخ],0)),""))</f>
        <v/>
      </c>
      <c r="D326">
        <f>IF($A326&gt;TODAY(),"",IFERROR(INDEX(Credit_KPIs_Tbl[Total Number Contracts],MATCH($A326,Credit_KPIs_Tbl[Date - التاريخ],0)),""))</f>
        <v/>
      </c>
      <c r="E326">
        <f>IF($A326&gt;TODAY(),"",IFERROR(INDEX(Credit_KPIs_Tbl[Cancelled],MATCH($A326,Credit_KPIs_Tbl[Date - التاريخ],0)),""))</f>
        <v/>
      </c>
      <c r="F326">
        <f>IF($A326&gt;TODAY(),"",SUMIFS(Collection_Summary_Tbl[Amount - المبلغ],Collection_Summary_Tbl[Item - البند],"الاجمالي",Collection_Summary_Tbl[Date To - الى],$A326))</f>
        <v/>
      </c>
      <c r="G326">
        <f>IF($A326&gt;TODAY(),"",SUMIFS(Sales_Tbl[Count - العدد],Sales_Tbl[Date - التاريخ],$A326))</f>
        <v/>
      </c>
      <c r="H326">
        <f>IF($A326&gt;TODAY(),"",SUMIFS(Sales_Tbl[Count - العدد],Sales_Tbl[Status - الحالة],"Accepted - تم التنفيذ",Sales_Tbl[Date - التاريخ],$A326))</f>
        <v/>
      </c>
      <c r="I326">
        <f>IF($A326&gt;TODAY(),"",SUMIFS(Customer_Care_Tbl[Active - نشط],Customer_Care_Tbl[Date - التاريخ],$A326))</f>
        <v/>
      </c>
      <c r="J326">
        <f>IF($A326&gt;TODAY(),"",SUMIFS(Customer_Care_Tbl[Close - مغلق],Customer_Care_Tbl[Date - التاريخ],$A326))</f>
        <v/>
      </c>
    </row>
    <row r="327">
      <c r="A327">
        <f>A326+1</f>
        <v/>
      </c>
      <c r="B327">
        <f>IF($A327&gt;TODAY(),"",IFERROR(INDEX(Credit_KPIs_Tbl[Total Financing Amount],MATCH($A327,Credit_KPIs_Tbl[Date - التاريخ],0)),""))</f>
        <v/>
      </c>
      <c r="C327">
        <f>IF($A327&gt;TODAY(),"",IFERROR(INDEX(Credit_KPIs_Tbl[Today Financing Amount],MATCH($A327,Credit_KPIs_Tbl[Date - التاريخ],0)),""))</f>
        <v/>
      </c>
      <c r="D327">
        <f>IF($A327&gt;TODAY(),"",IFERROR(INDEX(Credit_KPIs_Tbl[Total Number Contracts],MATCH($A327,Credit_KPIs_Tbl[Date - التاريخ],0)),""))</f>
        <v/>
      </c>
      <c r="E327">
        <f>IF($A327&gt;TODAY(),"",IFERROR(INDEX(Credit_KPIs_Tbl[Cancelled],MATCH($A327,Credit_KPIs_Tbl[Date - التاريخ],0)),""))</f>
        <v/>
      </c>
      <c r="F327">
        <f>IF($A327&gt;TODAY(),"",SUMIFS(Collection_Summary_Tbl[Amount - المبلغ],Collection_Summary_Tbl[Item - البند],"الاجمالي",Collection_Summary_Tbl[Date To - الى],$A327))</f>
        <v/>
      </c>
      <c r="G327">
        <f>IF($A327&gt;TODAY(),"",SUMIFS(Sales_Tbl[Count - العدد],Sales_Tbl[Date - التاريخ],$A327))</f>
        <v/>
      </c>
      <c r="H327">
        <f>IF($A327&gt;TODAY(),"",SUMIFS(Sales_Tbl[Count - العدد],Sales_Tbl[Status - الحالة],"Accepted - تم التنفيذ",Sales_Tbl[Date - التاريخ],$A327))</f>
        <v/>
      </c>
      <c r="I327">
        <f>IF($A327&gt;TODAY(),"",SUMIFS(Customer_Care_Tbl[Active - نشط],Customer_Care_Tbl[Date - التاريخ],$A327))</f>
        <v/>
      </c>
      <c r="J327">
        <f>IF($A327&gt;TODAY(),"",SUMIFS(Customer_Care_Tbl[Close - مغلق],Customer_Care_Tbl[Date - التاريخ],$A327))</f>
        <v/>
      </c>
    </row>
    <row r="328">
      <c r="A328">
        <f>A327+1</f>
        <v/>
      </c>
      <c r="B328">
        <f>IF($A328&gt;TODAY(),"",IFERROR(INDEX(Credit_KPIs_Tbl[Total Financing Amount],MATCH($A328,Credit_KPIs_Tbl[Date - التاريخ],0)),""))</f>
        <v/>
      </c>
      <c r="C328">
        <f>IF($A328&gt;TODAY(),"",IFERROR(INDEX(Credit_KPIs_Tbl[Today Financing Amount],MATCH($A328,Credit_KPIs_Tbl[Date - التاريخ],0)),""))</f>
        <v/>
      </c>
      <c r="D328">
        <f>IF($A328&gt;TODAY(),"",IFERROR(INDEX(Credit_KPIs_Tbl[Total Number Contracts],MATCH($A328,Credit_KPIs_Tbl[Date - التاريخ],0)),""))</f>
        <v/>
      </c>
      <c r="E328">
        <f>IF($A328&gt;TODAY(),"",IFERROR(INDEX(Credit_KPIs_Tbl[Cancelled],MATCH($A328,Credit_KPIs_Tbl[Date - التاريخ],0)),""))</f>
        <v/>
      </c>
      <c r="F328">
        <f>IF($A328&gt;TODAY(),"",SUMIFS(Collection_Summary_Tbl[Amount - المبلغ],Collection_Summary_Tbl[Item - البند],"الاجمالي",Collection_Summary_Tbl[Date To - الى],$A328))</f>
        <v/>
      </c>
      <c r="G328">
        <f>IF($A328&gt;TODAY(),"",SUMIFS(Sales_Tbl[Count - العدد],Sales_Tbl[Date - التاريخ],$A328))</f>
        <v/>
      </c>
      <c r="H328">
        <f>IF($A328&gt;TODAY(),"",SUMIFS(Sales_Tbl[Count - العدد],Sales_Tbl[Status - الحالة],"Accepted - تم التنفيذ",Sales_Tbl[Date - التاريخ],$A328))</f>
        <v/>
      </c>
      <c r="I328">
        <f>IF($A328&gt;TODAY(),"",SUMIFS(Customer_Care_Tbl[Active - نشط],Customer_Care_Tbl[Date - التاريخ],$A328))</f>
        <v/>
      </c>
      <c r="J328">
        <f>IF($A328&gt;TODAY(),"",SUMIFS(Customer_Care_Tbl[Close - مغلق],Customer_Care_Tbl[Date - التاريخ],$A328))</f>
        <v/>
      </c>
    </row>
    <row r="329">
      <c r="A329">
        <f>A328+1</f>
        <v/>
      </c>
      <c r="B329">
        <f>IF($A329&gt;TODAY(),"",IFERROR(INDEX(Credit_KPIs_Tbl[Total Financing Amount],MATCH($A329,Credit_KPIs_Tbl[Date - التاريخ],0)),""))</f>
        <v/>
      </c>
      <c r="C329">
        <f>IF($A329&gt;TODAY(),"",IFERROR(INDEX(Credit_KPIs_Tbl[Today Financing Amount],MATCH($A329,Credit_KPIs_Tbl[Date - التاريخ],0)),""))</f>
        <v/>
      </c>
      <c r="D329">
        <f>IF($A329&gt;TODAY(),"",IFERROR(INDEX(Credit_KPIs_Tbl[Total Number Contracts],MATCH($A329,Credit_KPIs_Tbl[Date - التاريخ],0)),""))</f>
        <v/>
      </c>
      <c r="E329">
        <f>IF($A329&gt;TODAY(),"",IFERROR(INDEX(Credit_KPIs_Tbl[Cancelled],MATCH($A329,Credit_KPIs_Tbl[Date - التاريخ],0)),""))</f>
        <v/>
      </c>
      <c r="F329">
        <f>IF($A329&gt;TODAY(),"",SUMIFS(Collection_Summary_Tbl[Amount - المبلغ],Collection_Summary_Tbl[Item - البند],"الاجمالي",Collection_Summary_Tbl[Date To - الى],$A329))</f>
        <v/>
      </c>
      <c r="G329">
        <f>IF($A329&gt;TODAY(),"",SUMIFS(Sales_Tbl[Count - العدد],Sales_Tbl[Date - التاريخ],$A329))</f>
        <v/>
      </c>
      <c r="H329">
        <f>IF($A329&gt;TODAY(),"",SUMIFS(Sales_Tbl[Count - العدد],Sales_Tbl[Status - الحالة],"Accepted - تم التنفيذ",Sales_Tbl[Date - التاريخ],$A329))</f>
        <v/>
      </c>
      <c r="I329">
        <f>IF($A329&gt;TODAY(),"",SUMIFS(Customer_Care_Tbl[Active - نشط],Customer_Care_Tbl[Date - التاريخ],$A329))</f>
        <v/>
      </c>
      <c r="J329">
        <f>IF($A329&gt;TODAY(),"",SUMIFS(Customer_Care_Tbl[Close - مغلق],Customer_Care_Tbl[Date - التاريخ],$A329))</f>
        <v/>
      </c>
    </row>
    <row r="330">
      <c r="A330">
        <f>A329+1</f>
        <v/>
      </c>
      <c r="B330">
        <f>IF($A330&gt;TODAY(),"",IFERROR(INDEX(Credit_KPIs_Tbl[Total Financing Amount],MATCH($A330,Credit_KPIs_Tbl[Date - التاريخ],0)),""))</f>
        <v/>
      </c>
      <c r="C330">
        <f>IF($A330&gt;TODAY(),"",IFERROR(INDEX(Credit_KPIs_Tbl[Today Financing Amount],MATCH($A330,Credit_KPIs_Tbl[Date - التاريخ],0)),""))</f>
        <v/>
      </c>
      <c r="D330">
        <f>IF($A330&gt;TODAY(),"",IFERROR(INDEX(Credit_KPIs_Tbl[Total Number Contracts],MATCH($A330,Credit_KPIs_Tbl[Date - التاريخ],0)),""))</f>
        <v/>
      </c>
      <c r="E330">
        <f>IF($A330&gt;TODAY(),"",IFERROR(INDEX(Credit_KPIs_Tbl[Cancelled],MATCH($A330,Credit_KPIs_Tbl[Date - التاريخ],0)),""))</f>
        <v/>
      </c>
      <c r="F330">
        <f>IF($A330&gt;TODAY(),"",SUMIFS(Collection_Summary_Tbl[Amount - المبلغ],Collection_Summary_Tbl[Item - البند],"الاجمالي",Collection_Summary_Tbl[Date To - الى],$A330))</f>
        <v/>
      </c>
      <c r="G330">
        <f>IF($A330&gt;TODAY(),"",SUMIFS(Sales_Tbl[Count - العدد],Sales_Tbl[Date - التاريخ],$A330))</f>
        <v/>
      </c>
      <c r="H330">
        <f>IF($A330&gt;TODAY(),"",SUMIFS(Sales_Tbl[Count - العدد],Sales_Tbl[Status - الحالة],"Accepted - تم التنفيذ",Sales_Tbl[Date - التاريخ],$A330))</f>
        <v/>
      </c>
      <c r="I330">
        <f>IF($A330&gt;TODAY(),"",SUMIFS(Customer_Care_Tbl[Active - نشط],Customer_Care_Tbl[Date - التاريخ],$A330))</f>
        <v/>
      </c>
      <c r="J330">
        <f>IF($A330&gt;TODAY(),"",SUMIFS(Customer_Care_Tbl[Close - مغلق],Customer_Care_Tbl[Date - التاريخ],$A330))</f>
        <v/>
      </c>
    </row>
    <row r="331">
      <c r="A331">
        <f>A330+1</f>
        <v/>
      </c>
      <c r="B331">
        <f>IF($A331&gt;TODAY(),"",IFERROR(INDEX(Credit_KPIs_Tbl[Total Financing Amount],MATCH($A331,Credit_KPIs_Tbl[Date - التاريخ],0)),""))</f>
        <v/>
      </c>
      <c r="C331">
        <f>IF($A331&gt;TODAY(),"",IFERROR(INDEX(Credit_KPIs_Tbl[Today Financing Amount],MATCH($A331,Credit_KPIs_Tbl[Date - التاريخ],0)),""))</f>
        <v/>
      </c>
      <c r="D331">
        <f>IF($A331&gt;TODAY(),"",IFERROR(INDEX(Credit_KPIs_Tbl[Total Number Contracts],MATCH($A331,Credit_KPIs_Tbl[Date - التاريخ],0)),""))</f>
        <v/>
      </c>
      <c r="E331">
        <f>IF($A331&gt;TODAY(),"",IFERROR(INDEX(Credit_KPIs_Tbl[Cancelled],MATCH($A331,Credit_KPIs_Tbl[Date - التاريخ],0)),""))</f>
        <v/>
      </c>
      <c r="F331">
        <f>IF($A331&gt;TODAY(),"",SUMIFS(Collection_Summary_Tbl[Amount - المبلغ],Collection_Summary_Tbl[Item - البند],"الاجمالي",Collection_Summary_Tbl[Date To - الى],$A331))</f>
        <v/>
      </c>
      <c r="G331">
        <f>IF($A331&gt;TODAY(),"",SUMIFS(Sales_Tbl[Count - العدد],Sales_Tbl[Date - التاريخ],$A331))</f>
        <v/>
      </c>
      <c r="H331">
        <f>IF($A331&gt;TODAY(),"",SUMIFS(Sales_Tbl[Count - العدد],Sales_Tbl[Status - الحالة],"Accepted - تم التنفيذ",Sales_Tbl[Date - التاريخ],$A331))</f>
        <v/>
      </c>
      <c r="I331">
        <f>IF($A331&gt;TODAY(),"",SUMIFS(Customer_Care_Tbl[Active - نشط],Customer_Care_Tbl[Date - التاريخ],$A331))</f>
        <v/>
      </c>
      <c r="J331">
        <f>IF($A331&gt;TODAY(),"",SUMIFS(Customer_Care_Tbl[Close - مغلق],Customer_Care_Tbl[Date - التاريخ],$A331))</f>
        <v/>
      </c>
    </row>
    <row r="332">
      <c r="A332">
        <f>A331+1</f>
        <v/>
      </c>
      <c r="B332">
        <f>IF($A332&gt;TODAY(),"",IFERROR(INDEX(Credit_KPIs_Tbl[Total Financing Amount],MATCH($A332,Credit_KPIs_Tbl[Date - التاريخ],0)),""))</f>
        <v/>
      </c>
      <c r="C332">
        <f>IF($A332&gt;TODAY(),"",IFERROR(INDEX(Credit_KPIs_Tbl[Today Financing Amount],MATCH($A332,Credit_KPIs_Tbl[Date - التاريخ],0)),""))</f>
        <v/>
      </c>
      <c r="D332">
        <f>IF($A332&gt;TODAY(),"",IFERROR(INDEX(Credit_KPIs_Tbl[Total Number Contracts],MATCH($A332,Credit_KPIs_Tbl[Date - التاريخ],0)),""))</f>
        <v/>
      </c>
      <c r="E332">
        <f>IF($A332&gt;TODAY(),"",IFERROR(INDEX(Credit_KPIs_Tbl[Cancelled],MATCH($A332,Credit_KPIs_Tbl[Date - التاريخ],0)),""))</f>
        <v/>
      </c>
      <c r="F332">
        <f>IF($A332&gt;TODAY(),"",SUMIFS(Collection_Summary_Tbl[Amount - المبلغ],Collection_Summary_Tbl[Item - البند],"الاجمالي",Collection_Summary_Tbl[Date To - الى],$A332))</f>
        <v/>
      </c>
      <c r="G332">
        <f>IF($A332&gt;TODAY(),"",SUMIFS(Sales_Tbl[Count - العدد],Sales_Tbl[Date - التاريخ],$A332))</f>
        <v/>
      </c>
      <c r="H332">
        <f>IF($A332&gt;TODAY(),"",SUMIFS(Sales_Tbl[Count - العدد],Sales_Tbl[Status - الحالة],"Accepted - تم التنفيذ",Sales_Tbl[Date - التاريخ],$A332))</f>
        <v/>
      </c>
      <c r="I332">
        <f>IF($A332&gt;TODAY(),"",SUMIFS(Customer_Care_Tbl[Active - نشط],Customer_Care_Tbl[Date - التاريخ],$A332))</f>
        <v/>
      </c>
      <c r="J332">
        <f>IF($A332&gt;TODAY(),"",SUMIFS(Customer_Care_Tbl[Close - مغلق],Customer_Care_Tbl[Date - التاريخ],$A332))</f>
        <v/>
      </c>
    </row>
    <row r="333">
      <c r="A333">
        <f>A332+1</f>
        <v/>
      </c>
      <c r="B333">
        <f>IF($A333&gt;TODAY(),"",IFERROR(INDEX(Credit_KPIs_Tbl[Total Financing Amount],MATCH($A333,Credit_KPIs_Tbl[Date - التاريخ],0)),""))</f>
        <v/>
      </c>
      <c r="C333">
        <f>IF($A333&gt;TODAY(),"",IFERROR(INDEX(Credit_KPIs_Tbl[Today Financing Amount],MATCH($A333,Credit_KPIs_Tbl[Date - التاريخ],0)),""))</f>
        <v/>
      </c>
      <c r="D333">
        <f>IF($A333&gt;TODAY(),"",IFERROR(INDEX(Credit_KPIs_Tbl[Total Number Contracts],MATCH($A333,Credit_KPIs_Tbl[Date - التاريخ],0)),""))</f>
        <v/>
      </c>
      <c r="E333">
        <f>IF($A333&gt;TODAY(),"",IFERROR(INDEX(Credit_KPIs_Tbl[Cancelled],MATCH($A333,Credit_KPIs_Tbl[Date - التاريخ],0)),""))</f>
        <v/>
      </c>
      <c r="F333">
        <f>IF($A333&gt;TODAY(),"",SUMIFS(Collection_Summary_Tbl[Amount - المبلغ],Collection_Summary_Tbl[Item - البند],"الاجمالي",Collection_Summary_Tbl[Date To - الى],$A333))</f>
        <v/>
      </c>
      <c r="G333">
        <f>IF($A333&gt;TODAY(),"",SUMIFS(Sales_Tbl[Count - العدد],Sales_Tbl[Date - التاريخ],$A333))</f>
        <v/>
      </c>
      <c r="H333">
        <f>IF($A333&gt;TODAY(),"",SUMIFS(Sales_Tbl[Count - العدد],Sales_Tbl[Status - الحالة],"Accepted - تم التنفيذ",Sales_Tbl[Date - التاريخ],$A333))</f>
        <v/>
      </c>
      <c r="I333">
        <f>IF($A333&gt;TODAY(),"",SUMIFS(Customer_Care_Tbl[Active - نشط],Customer_Care_Tbl[Date - التاريخ],$A333))</f>
        <v/>
      </c>
      <c r="J333">
        <f>IF($A333&gt;TODAY(),"",SUMIFS(Customer_Care_Tbl[Close - مغلق],Customer_Care_Tbl[Date - التاريخ],$A333))</f>
        <v/>
      </c>
    </row>
    <row r="334">
      <c r="A334">
        <f>A333+1</f>
        <v/>
      </c>
      <c r="B334">
        <f>IF($A334&gt;TODAY(),"",IFERROR(INDEX(Credit_KPIs_Tbl[Total Financing Amount],MATCH($A334,Credit_KPIs_Tbl[Date - التاريخ],0)),""))</f>
        <v/>
      </c>
      <c r="C334">
        <f>IF($A334&gt;TODAY(),"",IFERROR(INDEX(Credit_KPIs_Tbl[Today Financing Amount],MATCH($A334,Credit_KPIs_Tbl[Date - التاريخ],0)),""))</f>
        <v/>
      </c>
      <c r="D334">
        <f>IF($A334&gt;TODAY(),"",IFERROR(INDEX(Credit_KPIs_Tbl[Total Number Contracts],MATCH($A334,Credit_KPIs_Tbl[Date - التاريخ],0)),""))</f>
        <v/>
      </c>
      <c r="E334">
        <f>IF($A334&gt;TODAY(),"",IFERROR(INDEX(Credit_KPIs_Tbl[Cancelled],MATCH($A334,Credit_KPIs_Tbl[Date - التاريخ],0)),""))</f>
        <v/>
      </c>
      <c r="F334">
        <f>IF($A334&gt;TODAY(),"",SUMIFS(Collection_Summary_Tbl[Amount - المبلغ],Collection_Summary_Tbl[Item - البند],"الاجمالي",Collection_Summary_Tbl[Date To - الى],$A334))</f>
        <v/>
      </c>
      <c r="G334">
        <f>IF($A334&gt;TODAY(),"",SUMIFS(Sales_Tbl[Count - العدد],Sales_Tbl[Date - التاريخ],$A334))</f>
        <v/>
      </c>
      <c r="H334">
        <f>IF($A334&gt;TODAY(),"",SUMIFS(Sales_Tbl[Count - العدد],Sales_Tbl[Status - الحالة],"Accepted - تم التنفيذ",Sales_Tbl[Date - التاريخ],$A334))</f>
        <v/>
      </c>
      <c r="I334">
        <f>IF($A334&gt;TODAY(),"",SUMIFS(Customer_Care_Tbl[Active - نشط],Customer_Care_Tbl[Date - التاريخ],$A334))</f>
        <v/>
      </c>
      <c r="J334">
        <f>IF($A334&gt;TODAY(),"",SUMIFS(Customer_Care_Tbl[Close - مغلق],Customer_Care_Tbl[Date - التاريخ],$A334))</f>
        <v/>
      </c>
    </row>
    <row r="335">
      <c r="A335">
        <f>A334+1</f>
        <v/>
      </c>
      <c r="B335">
        <f>IF($A335&gt;TODAY(),"",IFERROR(INDEX(Credit_KPIs_Tbl[Total Financing Amount],MATCH($A335,Credit_KPIs_Tbl[Date - التاريخ],0)),""))</f>
        <v/>
      </c>
      <c r="C335">
        <f>IF($A335&gt;TODAY(),"",IFERROR(INDEX(Credit_KPIs_Tbl[Today Financing Amount],MATCH($A335,Credit_KPIs_Tbl[Date - التاريخ],0)),""))</f>
        <v/>
      </c>
      <c r="D335">
        <f>IF($A335&gt;TODAY(),"",IFERROR(INDEX(Credit_KPIs_Tbl[Total Number Contracts],MATCH($A335,Credit_KPIs_Tbl[Date - التاريخ],0)),""))</f>
        <v/>
      </c>
      <c r="E335">
        <f>IF($A335&gt;TODAY(),"",IFERROR(INDEX(Credit_KPIs_Tbl[Cancelled],MATCH($A335,Credit_KPIs_Tbl[Date - التاريخ],0)),""))</f>
        <v/>
      </c>
      <c r="F335">
        <f>IF($A335&gt;TODAY(),"",SUMIFS(Collection_Summary_Tbl[Amount - المبلغ],Collection_Summary_Tbl[Item - البند],"الاجمالي",Collection_Summary_Tbl[Date To - الى],$A335))</f>
        <v/>
      </c>
      <c r="G335">
        <f>IF($A335&gt;TODAY(),"",SUMIFS(Sales_Tbl[Count - العدد],Sales_Tbl[Date - التاريخ],$A335))</f>
        <v/>
      </c>
      <c r="H335">
        <f>IF($A335&gt;TODAY(),"",SUMIFS(Sales_Tbl[Count - العدد],Sales_Tbl[Status - الحالة],"Accepted - تم التنفيذ",Sales_Tbl[Date - التاريخ],$A335))</f>
        <v/>
      </c>
      <c r="I335">
        <f>IF($A335&gt;TODAY(),"",SUMIFS(Customer_Care_Tbl[Active - نشط],Customer_Care_Tbl[Date - التاريخ],$A335))</f>
        <v/>
      </c>
      <c r="J335">
        <f>IF($A335&gt;TODAY(),"",SUMIFS(Customer_Care_Tbl[Close - مغلق],Customer_Care_Tbl[Date - التاريخ],$A335))</f>
        <v/>
      </c>
    </row>
    <row r="336">
      <c r="A336">
        <f>A335+1</f>
        <v/>
      </c>
      <c r="B336">
        <f>IF($A336&gt;TODAY(),"",IFERROR(INDEX(Credit_KPIs_Tbl[Total Financing Amount],MATCH($A336,Credit_KPIs_Tbl[Date - التاريخ],0)),""))</f>
        <v/>
      </c>
      <c r="C336">
        <f>IF($A336&gt;TODAY(),"",IFERROR(INDEX(Credit_KPIs_Tbl[Today Financing Amount],MATCH($A336,Credit_KPIs_Tbl[Date - التاريخ],0)),""))</f>
        <v/>
      </c>
      <c r="D336">
        <f>IF($A336&gt;TODAY(),"",IFERROR(INDEX(Credit_KPIs_Tbl[Total Number Contracts],MATCH($A336,Credit_KPIs_Tbl[Date - التاريخ],0)),""))</f>
        <v/>
      </c>
      <c r="E336">
        <f>IF($A336&gt;TODAY(),"",IFERROR(INDEX(Credit_KPIs_Tbl[Cancelled],MATCH($A336,Credit_KPIs_Tbl[Date - التاريخ],0)),""))</f>
        <v/>
      </c>
      <c r="F336">
        <f>IF($A336&gt;TODAY(),"",SUMIFS(Collection_Summary_Tbl[Amount - المبلغ],Collection_Summary_Tbl[Item - البند],"الاجمالي",Collection_Summary_Tbl[Date To - الى],$A336))</f>
        <v/>
      </c>
      <c r="G336">
        <f>IF($A336&gt;TODAY(),"",SUMIFS(Sales_Tbl[Count - العدد],Sales_Tbl[Date - التاريخ],$A336))</f>
        <v/>
      </c>
      <c r="H336">
        <f>IF($A336&gt;TODAY(),"",SUMIFS(Sales_Tbl[Count - العدد],Sales_Tbl[Status - الحالة],"Accepted - تم التنفيذ",Sales_Tbl[Date - التاريخ],$A336))</f>
        <v/>
      </c>
      <c r="I336">
        <f>IF($A336&gt;TODAY(),"",SUMIFS(Customer_Care_Tbl[Active - نشط],Customer_Care_Tbl[Date - التاريخ],$A336))</f>
        <v/>
      </c>
      <c r="J336">
        <f>IF($A336&gt;TODAY(),"",SUMIFS(Customer_Care_Tbl[Close - مغلق],Customer_Care_Tbl[Date - التاريخ],$A336))</f>
        <v/>
      </c>
    </row>
    <row r="337">
      <c r="A337">
        <f>A336+1</f>
        <v/>
      </c>
      <c r="B337">
        <f>IF($A337&gt;TODAY(),"",IFERROR(INDEX(Credit_KPIs_Tbl[Total Financing Amount],MATCH($A337,Credit_KPIs_Tbl[Date - التاريخ],0)),""))</f>
        <v/>
      </c>
      <c r="C337">
        <f>IF($A337&gt;TODAY(),"",IFERROR(INDEX(Credit_KPIs_Tbl[Today Financing Amount],MATCH($A337,Credit_KPIs_Tbl[Date - التاريخ],0)),""))</f>
        <v/>
      </c>
      <c r="D337">
        <f>IF($A337&gt;TODAY(),"",IFERROR(INDEX(Credit_KPIs_Tbl[Total Number Contracts],MATCH($A337,Credit_KPIs_Tbl[Date - التاريخ],0)),""))</f>
        <v/>
      </c>
      <c r="E337">
        <f>IF($A337&gt;TODAY(),"",IFERROR(INDEX(Credit_KPIs_Tbl[Cancelled],MATCH($A337,Credit_KPIs_Tbl[Date - التاريخ],0)),""))</f>
        <v/>
      </c>
      <c r="F337">
        <f>IF($A337&gt;TODAY(),"",SUMIFS(Collection_Summary_Tbl[Amount - المبلغ],Collection_Summary_Tbl[Item - البند],"الاجمالي",Collection_Summary_Tbl[Date To - الى],$A337))</f>
        <v/>
      </c>
      <c r="G337">
        <f>IF($A337&gt;TODAY(),"",SUMIFS(Sales_Tbl[Count - العدد],Sales_Tbl[Date - التاريخ],$A337))</f>
        <v/>
      </c>
      <c r="H337">
        <f>IF($A337&gt;TODAY(),"",SUMIFS(Sales_Tbl[Count - العدد],Sales_Tbl[Status - الحالة],"Accepted - تم التنفيذ",Sales_Tbl[Date - التاريخ],$A337))</f>
        <v/>
      </c>
      <c r="I337">
        <f>IF($A337&gt;TODAY(),"",SUMIFS(Customer_Care_Tbl[Active - نشط],Customer_Care_Tbl[Date - التاريخ],$A337))</f>
        <v/>
      </c>
      <c r="J337">
        <f>IF($A337&gt;TODAY(),"",SUMIFS(Customer_Care_Tbl[Close - مغلق],Customer_Care_Tbl[Date - التاريخ],$A337))</f>
        <v/>
      </c>
    </row>
    <row r="338">
      <c r="A338">
        <f>A337+1</f>
        <v/>
      </c>
      <c r="B338">
        <f>IF($A338&gt;TODAY(),"",IFERROR(INDEX(Credit_KPIs_Tbl[Total Financing Amount],MATCH($A338,Credit_KPIs_Tbl[Date - التاريخ],0)),""))</f>
        <v/>
      </c>
      <c r="C338">
        <f>IF($A338&gt;TODAY(),"",IFERROR(INDEX(Credit_KPIs_Tbl[Today Financing Amount],MATCH($A338,Credit_KPIs_Tbl[Date - التاريخ],0)),""))</f>
        <v/>
      </c>
      <c r="D338">
        <f>IF($A338&gt;TODAY(),"",IFERROR(INDEX(Credit_KPIs_Tbl[Total Number Contracts],MATCH($A338,Credit_KPIs_Tbl[Date - التاريخ],0)),""))</f>
        <v/>
      </c>
      <c r="E338">
        <f>IF($A338&gt;TODAY(),"",IFERROR(INDEX(Credit_KPIs_Tbl[Cancelled],MATCH($A338,Credit_KPIs_Tbl[Date - التاريخ],0)),""))</f>
        <v/>
      </c>
      <c r="F338">
        <f>IF($A338&gt;TODAY(),"",SUMIFS(Collection_Summary_Tbl[Amount - المبلغ],Collection_Summary_Tbl[Item - البند],"الاجمالي",Collection_Summary_Tbl[Date To - الى],$A338))</f>
        <v/>
      </c>
      <c r="G338">
        <f>IF($A338&gt;TODAY(),"",SUMIFS(Sales_Tbl[Count - العدد],Sales_Tbl[Date - التاريخ],$A338))</f>
        <v/>
      </c>
      <c r="H338">
        <f>IF($A338&gt;TODAY(),"",SUMIFS(Sales_Tbl[Count - العدد],Sales_Tbl[Status - الحالة],"Accepted - تم التنفيذ",Sales_Tbl[Date - التاريخ],$A338))</f>
        <v/>
      </c>
      <c r="I338">
        <f>IF($A338&gt;TODAY(),"",SUMIFS(Customer_Care_Tbl[Active - نشط],Customer_Care_Tbl[Date - التاريخ],$A338))</f>
        <v/>
      </c>
      <c r="J338">
        <f>IF($A338&gt;TODAY(),"",SUMIFS(Customer_Care_Tbl[Close - مغلق],Customer_Care_Tbl[Date - التاريخ],$A338))</f>
        <v/>
      </c>
    </row>
    <row r="339">
      <c r="A339">
        <f>A338+1</f>
        <v/>
      </c>
      <c r="B339">
        <f>IF($A339&gt;TODAY(),"",IFERROR(INDEX(Credit_KPIs_Tbl[Total Financing Amount],MATCH($A339,Credit_KPIs_Tbl[Date - التاريخ],0)),""))</f>
        <v/>
      </c>
      <c r="C339">
        <f>IF($A339&gt;TODAY(),"",IFERROR(INDEX(Credit_KPIs_Tbl[Today Financing Amount],MATCH($A339,Credit_KPIs_Tbl[Date - التاريخ],0)),""))</f>
        <v/>
      </c>
      <c r="D339">
        <f>IF($A339&gt;TODAY(),"",IFERROR(INDEX(Credit_KPIs_Tbl[Total Number Contracts],MATCH($A339,Credit_KPIs_Tbl[Date - التاريخ],0)),""))</f>
        <v/>
      </c>
      <c r="E339">
        <f>IF($A339&gt;TODAY(),"",IFERROR(INDEX(Credit_KPIs_Tbl[Cancelled],MATCH($A339,Credit_KPIs_Tbl[Date - التاريخ],0)),""))</f>
        <v/>
      </c>
      <c r="F339">
        <f>IF($A339&gt;TODAY(),"",SUMIFS(Collection_Summary_Tbl[Amount - المبلغ],Collection_Summary_Tbl[Item - البند],"الاجمالي",Collection_Summary_Tbl[Date To - الى],$A339))</f>
        <v/>
      </c>
      <c r="G339">
        <f>IF($A339&gt;TODAY(),"",SUMIFS(Sales_Tbl[Count - العدد],Sales_Tbl[Date - التاريخ],$A339))</f>
        <v/>
      </c>
      <c r="H339">
        <f>IF($A339&gt;TODAY(),"",SUMIFS(Sales_Tbl[Count - العدد],Sales_Tbl[Status - الحالة],"Accepted - تم التنفيذ",Sales_Tbl[Date - التاريخ],$A339))</f>
        <v/>
      </c>
      <c r="I339">
        <f>IF($A339&gt;TODAY(),"",SUMIFS(Customer_Care_Tbl[Active - نشط],Customer_Care_Tbl[Date - التاريخ],$A339))</f>
        <v/>
      </c>
      <c r="J339">
        <f>IF($A339&gt;TODAY(),"",SUMIFS(Customer_Care_Tbl[Close - مغلق],Customer_Care_Tbl[Date - التاريخ],$A339))</f>
        <v/>
      </c>
    </row>
    <row r="340">
      <c r="A340">
        <f>A339+1</f>
        <v/>
      </c>
      <c r="B340">
        <f>IF($A340&gt;TODAY(),"",IFERROR(INDEX(Credit_KPIs_Tbl[Total Financing Amount],MATCH($A340,Credit_KPIs_Tbl[Date - التاريخ],0)),""))</f>
        <v/>
      </c>
      <c r="C340">
        <f>IF($A340&gt;TODAY(),"",IFERROR(INDEX(Credit_KPIs_Tbl[Today Financing Amount],MATCH($A340,Credit_KPIs_Tbl[Date - التاريخ],0)),""))</f>
        <v/>
      </c>
      <c r="D340">
        <f>IF($A340&gt;TODAY(),"",IFERROR(INDEX(Credit_KPIs_Tbl[Total Number Contracts],MATCH($A340,Credit_KPIs_Tbl[Date - التاريخ],0)),""))</f>
        <v/>
      </c>
      <c r="E340">
        <f>IF($A340&gt;TODAY(),"",IFERROR(INDEX(Credit_KPIs_Tbl[Cancelled],MATCH($A340,Credit_KPIs_Tbl[Date - التاريخ],0)),""))</f>
        <v/>
      </c>
      <c r="F340">
        <f>IF($A340&gt;TODAY(),"",SUMIFS(Collection_Summary_Tbl[Amount - المبلغ],Collection_Summary_Tbl[Item - البند],"الاجمالي",Collection_Summary_Tbl[Date To - الى],$A340))</f>
        <v/>
      </c>
      <c r="G340">
        <f>IF($A340&gt;TODAY(),"",SUMIFS(Sales_Tbl[Count - العدد],Sales_Tbl[Date - التاريخ],$A340))</f>
        <v/>
      </c>
      <c r="H340">
        <f>IF($A340&gt;TODAY(),"",SUMIFS(Sales_Tbl[Count - العدد],Sales_Tbl[Status - الحالة],"Accepted - تم التنفيذ",Sales_Tbl[Date - التاريخ],$A340))</f>
        <v/>
      </c>
      <c r="I340">
        <f>IF($A340&gt;TODAY(),"",SUMIFS(Customer_Care_Tbl[Active - نشط],Customer_Care_Tbl[Date - التاريخ],$A340))</f>
        <v/>
      </c>
      <c r="J340">
        <f>IF($A340&gt;TODAY(),"",SUMIFS(Customer_Care_Tbl[Close - مغلق],Customer_Care_Tbl[Date - التاريخ],$A340))</f>
        <v/>
      </c>
    </row>
    <row r="341">
      <c r="A341">
        <f>A340+1</f>
        <v/>
      </c>
      <c r="B341">
        <f>IF($A341&gt;TODAY(),"",IFERROR(INDEX(Credit_KPIs_Tbl[Total Financing Amount],MATCH($A341,Credit_KPIs_Tbl[Date - التاريخ],0)),""))</f>
        <v/>
      </c>
      <c r="C341">
        <f>IF($A341&gt;TODAY(),"",IFERROR(INDEX(Credit_KPIs_Tbl[Today Financing Amount],MATCH($A341,Credit_KPIs_Tbl[Date - التاريخ],0)),""))</f>
        <v/>
      </c>
      <c r="D341">
        <f>IF($A341&gt;TODAY(),"",IFERROR(INDEX(Credit_KPIs_Tbl[Total Number Contracts],MATCH($A341,Credit_KPIs_Tbl[Date - التاريخ],0)),""))</f>
        <v/>
      </c>
      <c r="E341">
        <f>IF($A341&gt;TODAY(),"",IFERROR(INDEX(Credit_KPIs_Tbl[Cancelled],MATCH($A341,Credit_KPIs_Tbl[Date - التاريخ],0)),""))</f>
        <v/>
      </c>
      <c r="F341">
        <f>IF($A341&gt;TODAY(),"",SUMIFS(Collection_Summary_Tbl[Amount - المبلغ],Collection_Summary_Tbl[Item - البند],"الاجمالي",Collection_Summary_Tbl[Date To - الى],$A341))</f>
        <v/>
      </c>
      <c r="G341">
        <f>IF($A341&gt;TODAY(),"",SUMIFS(Sales_Tbl[Count - العدد],Sales_Tbl[Date - التاريخ],$A341))</f>
        <v/>
      </c>
      <c r="H341">
        <f>IF($A341&gt;TODAY(),"",SUMIFS(Sales_Tbl[Count - العدد],Sales_Tbl[Status - الحالة],"Accepted - تم التنفيذ",Sales_Tbl[Date - التاريخ],$A341))</f>
        <v/>
      </c>
      <c r="I341">
        <f>IF($A341&gt;TODAY(),"",SUMIFS(Customer_Care_Tbl[Active - نشط],Customer_Care_Tbl[Date - التاريخ],$A341))</f>
        <v/>
      </c>
      <c r="J341">
        <f>IF($A341&gt;TODAY(),"",SUMIFS(Customer_Care_Tbl[Close - مغلق],Customer_Care_Tbl[Date - التاريخ],$A341))</f>
        <v/>
      </c>
    </row>
    <row r="342">
      <c r="A342">
        <f>A341+1</f>
        <v/>
      </c>
      <c r="B342">
        <f>IF($A342&gt;TODAY(),"",IFERROR(INDEX(Credit_KPIs_Tbl[Total Financing Amount],MATCH($A342,Credit_KPIs_Tbl[Date - التاريخ],0)),""))</f>
        <v/>
      </c>
      <c r="C342">
        <f>IF($A342&gt;TODAY(),"",IFERROR(INDEX(Credit_KPIs_Tbl[Today Financing Amount],MATCH($A342,Credit_KPIs_Tbl[Date - التاريخ],0)),""))</f>
        <v/>
      </c>
      <c r="D342">
        <f>IF($A342&gt;TODAY(),"",IFERROR(INDEX(Credit_KPIs_Tbl[Total Number Contracts],MATCH($A342,Credit_KPIs_Tbl[Date - التاريخ],0)),""))</f>
        <v/>
      </c>
      <c r="E342">
        <f>IF($A342&gt;TODAY(),"",IFERROR(INDEX(Credit_KPIs_Tbl[Cancelled],MATCH($A342,Credit_KPIs_Tbl[Date - التاريخ],0)),""))</f>
        <v/>
      </c>
      <c r="F342">
        <f>IF($A342&gt;TODAY(),"",SUMIFS(Collection_Summary_Tbl[Amount - المبلغ],Collection_Summary_Tbl[Item - البند],"الاجمالي",Collection_Summary_Tbl[Date To - الى],$A342))</f>
        <v/>
      </c>
      <c r="G342">
        <f>IF($A342&gt;TODAY(),"",SUMIFS(Sales_Tbl[Count - العدد],Sales_Tbl[Date - التاريخ],$A342))</f>
        <v/>
      </c>
      <c r="H342">
        <f>IF($A342&gt;TODAY(),"",SUMIFS(Sales_Tbl[Count - العدد],Sales_Tbl[Status - الحالة],"Accepted - تم التنفيذ",Sales_Tbl[Date - التاريخ],$A342))</f>
        <v/>
      </c>
      <c r="I342">
        <f>IF($A342&gt;TODAY(),"",SUMIFS(Customer_Care_Tbl[Active - نشط],Customer_Care_Tbl[Date - التاريخ],$A342))</f>
        <v/>
      </c>
      <c r="J342">
        <f>IF($A342&gt;TODAY(),"",SUMIFS(Customer_Care_Tbl[Close - مغلق],Customer_Care_Tbl[Date - التاريخ],$A342))</f>
        <v/>
      </c>
    </row>
    <row r="343">
      <c r="A343">
        <f>A342+1</f>
        <v/>
      </c>
      <c r="B343">
        <f>IF($A343&gt;TODAY(),"",IFERROR(INDEX(Credit_KPIs_Tbl[Total Financing Amount],MATCH($A343,Credit_KPIs_Tbl[Date - التاريخ],0)),""))</f>
        <v/>
      </c>
      <c r="C343">
        <f>IF($A343&gt;TODAY(),"",IFERROR(INDEX(Credit_KPIs_Tbl[Today Financing Amount],MATCH($A343,Credit_KPIs_Tbl[Date - التاريخ],0)),""))</f>
        <v/>
      </c>
      <c r="D343">
        <f>IF($A343&gt;TODAY(),"",IFERROR(INDEX(Credit_KPIs_Tbl[Total Number Contracts],MATCH($A343,Credit_KPIs_Tbl[Date - التاريخ],0)),""))</f>
        <v/>
      </c>
      <c r="E343">
        <f>IF($A343&gt;TODAY(),"",IFERROR(INDEX(Credit_KPIs_Tbl[Cancelled],MATCH($A343,Credit_KPIs_Tbl[Date - التاريخ],0)),""))</f>
        <v/>
      </c>
      <c r="F343">
        <f>IF($A343&gt;TODAY(),"",SUMIFS(Collection_Summary_Tbl[Amount - المبلغ],Collection_Summary_Tbl[Item - البند],"الاجمالي",Collection_Summary_Tbl[Date To - الى],$A343))</f>
        <v/>
      </c>
      <c r="G343">
        <f>IF($A343&gt;TODAY(),"",SUMIFS(Sales_Tbl[Count - العدد],Sales_Tbl[Date - التاريخ],$A343))</f>
        <v/>
      </c>
      <c r="H343">
        <f>IF($A343&gt;TODAY(),"",SUMIFS(Sales_Tbl[Count - العدد],Sales_Tbl[Status - الحالة],"Accepted - تم التنفيذ",Sales_Tbl[Date - التاريخ],$A343))</f>
        <v/>
      </c>
      <c r="I343">
        <f>IF($A343&gt;TODAY(),"",SUMIFS(Customer_Care_Tbl[Active - نشط],Customer_Care_Tbl[Date - التاريخ],$A343))</f>
        <v/>
      </c>
      <c r="J343">
        <f>IF($A343&gt;TODAY(),"",SUMIFS(Customer_Care_Tbl[Close - مغلق],Customer_Care_Tbl[Date - التاريخ],$A343))</f>
        <v/>
      </c>
    </row>
    <row r="344">
      <c r="A344">
        <f>A343+1</f>
        <v/>
      </c>
      <c r="B344">
        <f>IF($A344&gt;TODAY(),"",IFERROR(INDEX(Credit_KPIs_Tbl[Total Financing Amount],MATCH($A344,Credit_KPIs_Tbl[Date - التاريخ],0)),""))</f>
        <v/>
      </c>
      <c r="C344">
        <f>IF($A344&gt;TODAY(),"",IFERROR(INDEX(Credit_KPIs_Tbl[Today Financing Amount],MATCH($A344,Credit_KPIs_Tbl[Date - التاريخ],0)),""))</f>
        <v/>
      </c>
      <c r="D344">
        <f>IF($A344&gt;TODAY(),"",IFERROR(INDEX(Credit_KPIs_Tbl[Total Number Contracts],MATCH($A344,Credit_KPIs_Tbl[Date - التاريخ],0)),""))</f>
        <v/>
      </c>
      <c r="E344">
        <f>IF($A344&gt;TODAY(),"",IFERROR(INDEX(Credit_KPIs_Tbl[Cancelled],MATCH($A344,Credit_KPIs_Tbl[Date - التاريخ],0)),""))</f>
        <v/>
      </c>
      <c r="F344">
        <f>IF($A344&gt;TODAY(),"",SUMIFS(Collection_Summary_Tbl[Amount - المبلغ],Collection_Summary_Tbl[Item - البند],"الاجمالي",Collection_Summary_Tbl[Date To - الى],$A344))</f>
        <v/>
      </c>
      <c r="G344">
        <f>IF($A344&gt;TODAY(),"",SUMIFS(Sales_Tbl[Count - العدد],Sales_Tbl[Date - التاريخ],$A344))</f>
        <v/>
      </c>
      <c r="H344">
        <f>IF($A344&gt;TODAY(),"",SUMIFS(Sales_Tbl[Count - العدد],Sales_Tbl[Status - الحالة],"Accepted - تم التنفيذ",Sales_Tbl[Date - التاريخ],$A344))</f>
        <v/>
      </c>
      <c r="I344">
        <f>IF($A344&gt;TODAY(),"",SUMIFS(Customer_Care_Tbl[Active - نشط],Customer_Care_Tbl[Date - التاريخ],$A344))</f>
        <v/>
      </c>
      <c r="J344">
        <f>IF($A344&gt;TODAY(),"",SUMIFS(Customer_Care_Tbl[Close - مغلق],Customer_Care_Tbl[Date - التاريخ],$A344))</f>
        <v/>
      </c>
    </row>
    <row r="345">
      <c r="A345">
        <f>A344+1</f>
        <v/>
      </c>
      <c r="B345">
        <f>IF($A345&gt;TODAY(),"",IFERROR(INDEX(Credit_KPIs_Tbl[Total Financing Amount],MATCH($A345,Credit_KPIs_Tbl[Date - التاريخ],0)),""))</f>
        <v/>
      </c>
      <c r="C345">
        <f>IF($A345&gt;TODAY(),"",IFERROR(INDEX(Credit_KPIs_Tbl[Today Financing Amount],MATCH($A345,Credit_KPIs_Tbl[Date - التاريخ],0)),""))</f>
        <v/>
      </c>
      <c r="D345">
        <f>IF($A345&gt;TODAY(),"",IFERROR(INDEX(Credit_KPIs_Tbl[Total Number Contracts],MATCH($A345,Credit_KPIs_Tbl[Date - التاريخ],0)),""))</f>
        <v/>
      </c>
      <c r="E345">
        <f>IF($A345&gt;TODAY(),"",IFERROR(INDEX(Credit_KPIs_Tbl[Cancelled],MATCH($A345,Credit_KPIs_Tbl[Date - التاريخ],0)),""))</f>
        <v/>
      </c>
      <c r="F345">
        <f>IF($A345&gt;TODAY(),"",SUMIFS(Collection_Summary_Tbl[Amount - المبلغ],Collection_Summary_Tbl[Item - البند],"الاجمالي",Collection_Summary_Tbl[Date To - الى],$A345))</f>
        <v/>
      </c>
      <c r="G345">
        <f>IF($A345&gt;TODAY(),"",SUMIFS(Sales_Tbl[Count - العدد],Sales_Tbl[Date - التاريخ],$A345))</f>
        <v/>
      </c>
      <c r="H345">
        <f>IF($A345&gt;TODAY(),"",SUMIFS(Sales_Tbl[Count - العدد],Sales_Tbl[Status - الحالة],"Accepted - تم التنفيذ",Sales_Tbl[Date - التاريخ],$A345))</f>
        <v/>
      </c>
      <c r="I345">
        <f>IF($A345&gt;TODAY(),"",SUMIFS(Customer_Care_Tbl[Active - نشط],Customer_Care_Tbl[Date - التاريخ],$A345))</f>
        <v/>
      </c>
      <c r="J345">
        <f>IF($A345&gt;TODAY(),"",SUMIFS(Customer_Care_Tbl[Close - مغلق],Customer_Care_Tbl[Date - التاريخ],$A345))</f>
        <v/>
      </c>
    </row>
    <row r="346">
      <c r="A346">
        <f>A345+1</f>
        <v/>
      </c>
      <c r="B346">
        <f>IF($A346&gt;TODAY(),"",IFERROR(INDEX(Credit_KPIs_Tbl[Total Financing Amount],MATCH($A346,Credit_KPIs_Tbl[Date - التاريخ],0)),""))</f>
        <v/>
      </c>
      <c r="C346">
        <f>IF($A346&gt;TODAY(),"",IFERROR(INDEX(Credit_KPIs_Tbl[Today Financing Amount],MATCH($A346,Credit_KPIs_Tbl[Date - التاريخ],0)),""))</f>
        <v/>
      </c>
      <c r="D346">
        <f>IF($A346&gt;TODAY(),"",IFERROR(INDEX(Credit_KPIs_Tbl[Total Number Contracts],MATCH($A346,Credit_KPIs_Tbl[Date - التاريخ],0)),""))</f>
        <v/>
      </c>
      <c r="E346">
        <f>IF($A346&gt;TODAY(),"",IFERROR(INDEX(Credit_KPIs_Tbl[Cancelled],MATCH($A346,Credit_KPIs_Tbl[Date - التاريخ],0)),""))</f>
        <v/>
      </c>
      <c r="F346">
        <f>IF($A346&gt;TODAY(),"",SUMIFS(Collection_Summary_Tbl[Amount - المبلغ],Collection_Summary_Tbl[Item - البند],"الاجمالي",Collection_Summary_Tbl[Date To - الى],$A346))</f>
        <v/>
      </c>
      <c r="G346">
        <f>IF($A346&gt;TODAY(),"",SUMIFS(Sales_Tbl[Count - العدد],Sales_Tbl[Date - التاريخ],$A346))</f>
        <v/>
      </c>
      <c r="H346">
        <f>IF($A346&gt;TODAY(),"",SUMIFS(Sales_Tbl[Count - العدد],Sales_Tbl[Status - الحالة],"Accepted - تم التنفيذ",Sales_Tbl[Date - التاريخ],$A346))</f>
        <v/>
      </c>
      <c r="I346">
        <f>IF($A346&gt;TODAY(),"",SUMIFS(Customer_Care_Tbl[Active - نشط],Customer_Care_Tbl[Date - التاريخ],$A346))</f>
        <v/>
      </c>
      <c r="J346">
        <f>IF($A346&gt;TODAY(),"",SUMIFS(Customer_Care_Tbl[Close - مغلق],Customer_Care_Tbl[Date - التاريخ],$A346))</f>
        <v/>
      </c>
    </row>
    <row r="347">
      <c r="A347">
        <f>A346+1</f>
        <v/>
      </c>
      <c r="B347">
        <f>IF($A347&gt;TODAY(),"",IFERROR(INDEX(Credit_KPIs_Tbl[Total Financing Amount],MATCH($A347,Credit_KPIs_Tbl[Date - التاريخ],0)),""))</f>
        <v/>
      </c>
      <c r="C347">
        <f>IF($A347&gt;TODAY(),"",IFERROR(INDEX(Credit_KPIs_Tbl[Today Financing Amount],MATCH($A347,Credit_KPIs_Tbl[Date - التاريخ],0)),""))</f>
        <v/>
      </c>
      <c r="D347">
        <f>IF($A347&gt;TODAY(),"",IFERROR(INDEX(Credit_KPIs_Tbl[Total Number Contracts],MATCH($A347,Credit_KPIs_Tbl[Date - التاريخ],0)),""))</f>
        <v/>
      </c>
      <c r="E347">
        <f>IF($A347&gt;TODAY(),"",IFERROR(INDEX(Credit_KPIs_Tbl[Cancelled],MATCH($A347,Credit_KPIs_Tbl[Date - التاريخ],0)),""))</f>
        <v/>
      </c>
      <c r="F347">
        <f>IF($A347&gt;TODAY(),"",SUMIFS(Collection_Summary_Tbl[Amount - المبلغ],Collection_Summary_Tbl[Item - البند],"الاجمالي",Collection_Summary_Tbl[Date To - الى],$A347))</f>
        <v/>
      </c>
      <c r="G347">
        <f>IF($A347&gt;TODAY(),"",SUMIFS(Sales_Tbl[Count - العدد],Sales_Tbl[Date - التاريخ],$A347))</f>
        <v/>
      </c>
      <c r="H347">
        <f>IF($A347&gt;TODAY(),"",SUMIFS(Sales_Tbl[Count - العدد],Sales_Tbl[Status - الحالة],"Accepted - تم التنفيذ",Sales_Tbl[Date - التاريخ],$A347))</f>
        <v/>
      </c>
      <c r="I347">
        <f>IF($A347&gt;TODAY(),"",SUMIFS(Customer_Care_Tbl[Active - نشط],Customer_Care_Tbl[Date - التاريخ],$A347))</f>
        <v/>
      </c>
      <c r="J347">
        <f>IF($A347&gt;TODAY(),"",SUMIFS(Customer_Care_Tbl[Close - مغلق],Customer_Care_Tbl[Date - التاريخ],$A347))</f>
        <v/>
      </c>
    </row>
    <row r="348">
      <c r="A348">
        <f>A347+1</f>
        <v/>
      </c>
      <c r="B348">
        <f>IF($A348&gt;TODAY(),"",IFERROR(INDEX(Credit_KPIs_Tbl[Total Financing Amount],MATCH($A348,Credit_KPIs_Tbl[Date - التاريخ],0)),""))</f>
        <v/>
      </c>
      <c r="C348">
        <f>IF($A348&gt;TODAY(),"",IFERROR(INDEX(Credit_KPIs_Tbl[Today Financing Amount],MATCH($A348,Credit_KPIs_Tbl[Date - التاريخ],0)),""))</f>
        <v/>
      </c>
      <c r="D348">
        <f>IF($A348&gt;TODAY(),"",IFERROR(INDEX(Credit_KPIs_Tbl[Total Number Contracts],MATCH($A348,Credit_KPIs_Tbl[Date - التاريخ],0)),""))</f>
        <v/>
      </c>
      <c r="E348">
        <f>IF($A348&gt;TODAY(),"",IFERROR(INDEX(Credit_KPIs_Tbl[Cancelled],MATCH($A348,Credit_KPIs_Tbl[Date - التاريخ],0)),""))</f>
        <v/>
      </c>
      <c r="F348">
        <f>IF($A348&gt;TODAY(),"",SUMIFS(Collection_Summary_Tbl[Amount - المبلغ],Collection_Summary_Tbl[Item - البند],"الاجمالي",Collection_Summary_Tbl[Date To - الى],$A348))</f>
        <v/>
      </c>
      <c r="G348">
        <f>IF($A348&gt;TODAY(),"",SUMIFS(Sales_Tbl[Count - العدد],Sales_Tbl[Date - التاريخ],$A348))</f>
        <v/>
      </c>
      <c r="H348">
        <f>IF($A348&gt;TODAY(),"",SUMIFS(Sales_Tbl[Count - العدد],Sales_Tbl[Status - الحالة],"Accepted - تم التنفيذ",Sales_Tbl[Date - التاريخ],$A348))</f>
        <v/>
      </c>
      <c r="I348">
        <f>IF($A348&gt;TODAY(),"",SUMIFS(Customer_Care_Tbl[Active - نشط],Customer_Care_Tbl[Date - التاريخ],$A348))</f>
        <v/>
      </c>
      <c r="J348">
        <f>IF($A348&gt;TODAY(),"",SUMIFS(Customer_Care_Tbl[Close - مغلق],Customer_Care_Tbl[Date - التاريخ],$A348))</f>
        <v/>
      </c>
    </row>
    <row r="349">
      <c r="A349">
        <f>A348+1</f>
        <v/>
      </c>
      <c r="B349">
        <f>IF($A349&gt;TODAY(),"",IFERROR(INDEX(Credit_KPIs_Tbl[Total Financing Amount],MATCH($A349,Credit_KPIs_Tbl[Date - التاريخ],0)),""))</f>
        <v/>
      </c>
      <c r="C349">
        <f>IF($A349&gt;TODAY(),"",IFERROR(INDEX(Credit_KPIs_Tbl[Today Financing Amount],MATCH($A349,Credit_KPIs_Tbl[Date - التاريخ],0)),""))</f>
        <v/>
      </c>
      <c r="D349">
        <f>IF($A349&gt;TODAY(),"",IFERROR(INDEX(Credit_KPIs_Tbl[Total Number Contracts],MATCH($A349,Credit_KPIs_Tbl[Date - التاريخ],0)),""))</f>
        <v/>
      </c>
      <c r="E349">
        <f>IF($A349&gt;TODAY(),"",IFERROR(INDEX(Credit_KPIs_Tbl[Cancelled],MATCH($A349,Credit_KPIs_Tbl[Date - التاريخ],0)),""))</f>
        <v/>
      </c>
      <c r="F349">
        <f>IF($A349&gt;TODAY(),"",SUMIFS(Collection_Summary_Tbl[Amount - المبلغ],Collection_Summary_Tbl[Item - البند],"الاجمالي",Collection_Summary_Tbl[Date To - الى],$A349))</f>
        <v/>
      </c>
      <c r="G349">
        <f>IF($A349&gt;TODAY(),"",SUMIFS(Sales_Tbl[Count - العدد],Sales_Tbl[Date - التاريخ],$A349))</f>
        <v/>
      </c>
      <c r="H349">
        <f>IF($A349&gt;TODAY(),"",SUMIFS(Sales_Tbl[Count - العدد],Sales_Tbl[Status - الحالة],"Accepted - تم التنفيذ",Sales_Tbl[Date - التاريخ],$A349))</f>
        <v/>
      </c>
      <c r="I349">
        <f>IF($A349&gt;TODAY(),"",SUMIFS(Customer_Care_Tbl[Active - نشط],Customer_Care_Tbl[Date - التاريخ],$A349))</f>
        <v/>
      </c>
      <c r="J349">
        <f>IF($A349&gt;TODAY(),"",SUMIFS(Customer_Care_Tbl[Close - مغلق],Customer_Care_Tbl[Date - التاريخ],$A349))</f>
        <v/>
      </c>
    </row>
    <row r="350">
      <c r="A350">
        <f>A349+1</f>
        <v/>
      </c>
      <c r="B350">
        <f>IF($A350&gt;TODAY(),"",IFERROR(INDEX(Credit_KPIs_Tbl[Total Financing Amount],MATCH($A350,Credit_KPIs_Tbl[Date - التاريخ],0)),""))</f>
        <v/>
      </c>
      <c r="C350">
        <f>IF($A350&gt;TODAY(),"",IFERROR(INDEX(Credit_KPIs_Tbl[Today Financing Amount],MATCH($A350,Credit_KPIs_Tbl[Date - التاريخ],0)),""))</f>
        <v/>
      </c>
      <c r="D350">
        <f>IF($A350&gt;TODAY(),"",IFERROR(INDEX(Credit_KPIs_Tbl[Total Number Contracts],MATCH($A350,Credit_KPIs_Tbl[Date - التاريخ],0)),""))</f>
        <v/>
      </c>
      <c r="E350">
        <f>IF($A350&gt;TODAY(),"",IFERROR(INDEX(Credit_KPIs_Tbl[Cancelled],MATCH($A350,Credit_KPIs_Tbl[Date - التاريخ],0)),""))</f>
        <v/>
      </c>
      <c r="F350">
        <f>IF($A350&gt;TODAY(),"",SUMIFS(Collection_Summary_Tbl[Amount - المبلغ],Collection_Summary_Tbl[Item - البند],"الاجمالي",Collection_Summary_Tbl[Date To - الى],$A350))</f>
        <v/>
      </c>
      <c r="G350">
        <f>IF($A350&gt;TODAY(),"",SUMIFS(Sales_Tbl[Count - العدد],Sales_Tbl[Date - التاريخ],$A350))</f>
        <v/>
      </c>
      <c r="H350">
        <f>IF($A350&gt;TODAY(),"",SUMIFS(Sales_Tbl[Count - العدد],Sales_Tbl[Status - الحالة],"Accepted - تم التنفيذ",Sales_Tbl[Date - التاريخ],$A350))</f>
        <v/>
      </c>
      <c r="I350">
        <f>IF($A350&gt;TODAY(),"",SUMIFS(Customer_Care_Tbl[Active - نشط],Customer_Care_Tbl[Date - التاريخ],$A350))</f>
        <v/>
      </c>
      <c r="J350">
        <f>IF($A350&gt;TODAY(),"",SUMIFS(Customer_Care_Tbl[Close - مغلق],Customer_Care_Tbl[Date - التاريخ],$A350))</f>
        <v/>
      </c>
    </row>
    <row r="351">
      <c r="A351">
        <f>A350+1</f>
        <v/>
      </c>
      <c r="B351">
        <f>IF($A351&gt;TODAY(),"",IFERROR(INDEX(Credit_KPIs_Tbl[Total Financing Amount],MATCH($A351,Credit_KPIs_Tbl[Date - التاريخ],0)),""))</f>
        <v/>
      </c>
      <c r="C351">
        <f>IF($A351&gt;TODAY(),"",IFERROR(INDEX(Credit_KPIs_Tbl[Today Financing Amount],MATCH($A351,Credit_KPIs_Tbl[Date - التاريخ],0)),""))</f>
        <v/>
      </c>
      <c r="D351">
        <f>IF($A351&gt;TODAY(),"",IFERROR(INDEX(Credit_KPIs_Tbl[Total Number Contracts],MATCH($A351,Credit_KPIs_Tbl[Date - التاريخ],0)),""))</f>
        <v/>
      </c>
      <c r="E351">
        <f>IF($A351&gt;TODAY(),"",IFERROR(INDEX(Credit_KPIs_Tbl[Cancelled],MATCH($A351,Credit_KPIs_Tbl[Date - التاريخ],0)),""))</f>
        <v/>
      </c>
      <c r="F351">
        <f>IF($A351&gt;TODAY(),"",SUMIFS(Collection_Summary_Tbl[Amount - المبلغ],Collection_Summary_Tbl[Item - البند],"الاجمالي",Collection_Summary_Tbl[Date To - الى],$A351))</f>
        <v/>
      </c>
      <c r="G351">
        <f>IF($A351&gt;TODAY(),"",SUMIFS(Sales_Tbl[Count - العدد],Sales_Tbl[Date - التاريخ],$A351))</f>
        <v/>
      </c>
      <c r="H351">
        <f>IF($A351&gt;TODAY(),"",SUMIFS(Sales_Tbl[Count - العدد],Sales_Tbl[Status - الحالة],"Accepted - تم التنفيذ",Sales_Tbl[Date - التاريخ],$A351))</f>
        <v/>
      </c>
      <c r="I351">
        <f>IF($A351&gt;TODAY(),"",SUMIFS(Customer_Care_Tbl[Active - نشط],Customer_Care_Tbl[Date - التاريخ],$A351))</f>
        <v/>
      </c>
      <c r="J351">
        <f>IF($A351&gt;TODAY(),"",SUMIFS(Customer_Care_Tbl[Close - مغلق],Customer_Care_Tbl[Date - التاريخ],$A351))</f>
        <v/>
      </c>
    </row>
    <row r="352">
      <c r="A352">
        <f>A351+1</f>
        <v/>
      </c>
      <c r="B352">
        <f>IF($A352&gt;TODAY(),"",IFERROR(INDEX(Credit_KPIs_Tbl[Total Financing Amount],MATCH($A352,Credit_KPIs_Tbl[Date - التاريخ],0)),""))</f>
        <v/>
      </c>
      <c r="C352">
        <f>IF($A352&gt;TODAY(),"",IFERROR(INDEX(Credit_KPIs_Tbl[Today Financing Amount],MATCH($A352,Credit_KPIs_Tbl[Date - التاريخ],0)),""))</f>
        <v/>
      </c>
      <c r="D352">
        <f>IF($A352&gt;TODAY(),"",IFERROR(INDEX(Credit_KPIs_Tbl[Total Number Contracts],MATCH($A352,Credit_KPIs_Tbl[Date - التاريخ],0)),""))</f>
        <v/>
      </c>
      <c r="E352">
        <f>IF($A352&gt;TODAY(),"",IFERROR(INDEX(Credit_KPIs_Tbl[Cancelled],MATCH($A352,Credit_KPIs_Tbl[Date - التاريخ],0)),""))</f>
        <v/>
      </c>
      <c r="F352">
        <f>IF($A352&gt;TODAY(),"",SUMIFS(Collection_Summary_Tbl[Amount - المبلغ],Collection_Summary_Tbl[Item - البند],"الاجمالي",Collection_Summary_Tbl[Date To - الى],$A352))</f>
        <v/>
      </c>
      <c r="G352">
        <f>IF($A352&gt;TODAY(),"",SUMIFS(Sales_Tbl[Count - العدد],Sales_Tbl[Date - التاريخ],$A352))</f>
        <v/>
      </c>
      <c r="H352">
        <f>IF($A352&gt;TODAY(),"",SUMIFS(Sales_Tbl[Count - العدد],Sales_Tbl[Status - الحالة],"Accepted - تم التنفيذ",Sales_Tbl[Date - التاريخ],$A352))</f>
        <v/>
      </c>
      <c r="I352">
        <f>IF($A352&gt;TODAY(),"",SUMIFS(Customer_Care_Tbl[Active - نشط],Customer_Care_Tbl[Date - التاريخ],$A352))</f>
        <v/>
      </c>
      <c r="J352">
        <f>IF($A352&gt;TODAY(),"",SUMIFS(Customer_Care_Tbl[Close - مغلق],Customer_Care_Tbl[Date - التاريخ],$A352))</f>
        <v/>
      </c>
    </row>
    <row r="353">
      <c r="A353">
        <f>A352+1</f>
        <v/>
      </c>
      <c r="B353">
        <f>IF($A353&gt;TODAY(),"",IFERROR(INDEX(Credit_KPIs_Tbl[Total Financing Amount],MATCH($A353,Credit_KPIs_Tbl[Date - التاريخ],0)),""))</f>
        <v/>
      </c>
      <c r="C353">
        <f>IF($A353&gt;TODAY(),"",IFERROR(INDEX(Credit_KPIs_Tbl[Today Financing Amount],MATCH($A353,Credit_KPIs_Tbl[Date - التاريخ],0)),""))</f>
        <v/>
      </c>
      <c r="D353">
        <f>IF($A353&gt;TODAY(),"",IFERROR(INDEX(Credit_KPIs_Tbl[Total Number Contracts],MATCH($A353,Credit_KPIs_Tbl[Date - التاريخ],0)),""))</f>
        <v/>
      </c>
      <c r="E353">
        <f>IF($A353&gt;TODAY(),"",IFERROR(INDEX(Credit_KPIs_Tbl[Cancelled],MATCH($A353,Credit_KPIs_Tbl[Date - التاريخ],0)),""))</f>
        <v/>
      </c>
      <c r="F353">
        <f>IF($A353&gt;TODAY(),"",SUMIFS(Collection_Summary_Tbl[Amount - المبلغ],Collection_Summary_Tbl[Item - البند],"الاجمالي",Collection_Summary_Tbl[Date To - الى],$A353))</f>
        <v/>
      </c>
      <c r="G353">
        <f>IF($A353&gt;TODAY(),"",SUMIFS(Sales_Tbl[Count - العدد],Sales_Tbl[Date - التاريخ],$A353))</f>
        <v/>
      </c>
      <c r="H353">
        <f>IF($A353&gt;TODAY(),"",SUMIFS(Sales_Tbl[Count - العدد],Sales_Tbl[Status - الحالة],"Accepted - تم التنفيذ",Sales_Tbl[Date - التاريخ],$A353))</f>
        <v/>
      </c>
      <c r="I353">
        <f>IF($A353&gt;TODAY(),"",SUMIFS(Customer_Care_Tbl[Active - نشط],Customer_Care_Tbl[Date - التاريخ],$A353))</f>
        <v/>
      </c>
      <c r="J353">
        <f>IF($A353&gt;TODAY(),"",SUMIFS(Customer_Care_Tbl[Close - مغلق],Customer_Care_Tbl[Date - التاريخ],$A353))</f>
        <v/>
      </c>
    </row>
    <row r="354">
      <c r="A354">
        <f>A353+1</f>
        <v/>
      </c>
      <c r="B354">
        <f>IF($A354&gt;TODAY(),"",IFERROR(INDEX(Credit_KPIs_Tbl[Total Financing Amount],MATCH($A354,Credit_KPIs_Tbl[Date - التاريخ],0)),""))</f>
        <v/>
      </c>
      <c r="C354">
        <f>IF($A354&gt;TODAY(),"",IFERROR(INDEX(Credit_KPIs_Tbl[Today Financing Amount],MATCH($A354,Credit_KPIs_Tbl[Date - التاريخ],0)),""))</f>
        <v/>
      </c>
      <c r="D354">
        <f>IF($A354&gt;TODAY(),"",IFERROR(INDEX(Credit_KPIs_Tbl[Total Number Contracts],MATCH($A354,Credit_KPIs_Tbl[Date - التاريخ],0)),""))</f>
        <v/>
      </c>
      <c r="E354">
        <f>IF($A354&gt;TODAY(),"",IFERROR(INDEX(Credit_KPIs_Tbl[Cancelled],MATCH($A354,Credit_KPIs_Tbl[Date - التاريخ],0)),""))</f>
        <v/>
      </c>
      <c r="F354">
        <f>IF($A354&gt;TODAY(),"",SUMIFS(Collection_Summary_Tbl[Amount - المبلغ],Collection_Summary_Tbl[Item - البند],"الاجمالي",Collection_Summary_Tbl[Date To - الى],$A354))</f>
        <v/>
      </c>
      <c r="G354">
        <f>IF($A354&gt;TODAY(),"",SUMIFS(Sales_Tbl[Count - العدد],Sales_Tbl[Date - التاريخ],$A354))</f>
        <v/>
      </c>
      <c r="H354">
        <f>IF($A354&gt;TODAY(),"",SUMIFS(Sales_Tbl[Count - العدد],Sales_Tbl[Status - الحالة],"Accepted - تم التنفيذ",Sales_Tbl[Date - التاريخ],$A354))</f>
        <v/>
      </c>
      <c r="I354">
        <f>IF($A354&gt;TODAY(),"",SUMIFS(Customer_Care_Tbl[Active - نشط],Customer_Care_Tbl[Date - التاريخ],$A354))</f>
        <v/>
      </c>
      <c r="J354">
        <f>IF($A354&gt;TODAY(),"",SUMIFS(Customer_Care_Tbl[Close - مغلق],Customer_Care_Tbl[Date - التاريخ],$A354))</f>
        <v/>
      </c>
    </row>
    <row r="355">
      <c r="A355">
        <f>A354+1</f>
        <v/>
      </c>
      <c r="B355">
        <f>IF($A355&gt;TODAY(),"",IFERROR(INDEX(Credit_KPIs_Tbl[Total Financing Amount],MATCH($A355,Credit_KPIs_Tbl[Date - التاريخ],0)),""))</f>
        <v/>
      </c>
      <c r="C355">
        <f>IF($A355&gt;TODAY(),"",IFERROR(INDEX(Credit_KPIs_Tbl[Today Financing Amount],MATCH($A355,Credit_KPIs_Tbl[Date - التاريخ],0)),""))</f>
        <v/>
      </c>
      <c r="D355">
        <f>IF($A355&gt;TODAY(),"",IFERROR(INDEX(Credit_KPIs_Tbl[Total Number Contracts],MATCH($A355,Credit_KPIs_Tbl[Date - التاريخ],0)),""))</f>
        <v/>
      </c>
      <c r="E355">
        <f>IF($A355&gt;TODAY(),"",IFERROR(INDEX(Credit_KPIs_Tbl[Cancelled],MATCH($A355,Credit_KPIs_Tbl[Date - التاريخ],0)),""))</f>
        <v/>
      </c>
      <c r="F355">
        <f>IF($A355&gt;TODAY(),"",SUMIFS(Collection_Summary_Tbl[Amount - المبلغ],Collection_Summary_Tbl[Item - البند],"الاجمالي",Collection_Summary_Tbl[Date To - الى],$A355))</f>
        <v/>
      </c>
      <c r="G355">
        <f>IF($A355&gt;TODAY(),"",SUMIFS(Sales_Tbl[Count - العدد],Sales_Tbl[Date - التاريخ],$A355))</f>
        <v/>
      </c>
      <c r="H355">
        <f>IF($A355&gt;TODAY(),"",SUMIFS(Sales_Tbl[Count - العدد],Sales_Tbl[Status - الحالة],"Accepted - تم التنفيذ",Sales_Tbl[Date - التاريخ],$A355))</f>
        <v/>
      </c>
      <c r="I355">
        <f>IF($A355&gt;TODAY(),"",SUMIFS(Customer_Care_Tbl[Active - نشط],Customer_Care_Tbl[Date - التاريخ],$A355))</f>
        <v/>
      </c>
      <c r="J355">
        <f>IF($A355&gt;TODAY(),"",SUMIFS(Customer_Care_Tbl[Close - مغلق],Customer_Care_Tbl[Date - التاريخ],$A355))</f>
        <v/>
      </c>
    </row>
    <row r="356">
      <c r="A356">
        <f>A355+1</f>
        <v/>
      </c>
      <c r="B356">
        <f>IF($A356&gt;TODAY(),"",IFERROR(INDEX(Credit_KPIs_Tbl[Total Financing Amount],MATCH($A356,Credit_KPIs_Tbl[Date - التاريخ],0)),""))</f>
        <v/>
      </c>
      <c r="C356">
        <f>IF($A356&gt;TODAY(),"",IFERROR(INDEX(Credit_KPIs_Tbl[Today Financing Amount],MATCH($A356,Credit_KPIs_Tbl[Date - التاريخ],0)),""))</f>
        <v/>
      </c>
      <c r="D356">
        <f>IF($A356&gt;TODAY(),"",IFERROR(INDEX(Credit_KPIs_Tbl[Total Number Contracts],MATCH($A356,Credit_KPIs_Tbl[Date - التاريخ],0)),""))</f>
        <v/>
      </c>
      <c r="E356">
        <f>IF($A356&gt;TODAY(),"",IFERROR(INDEX(Credit_KPIs_Tbl[Cancelled],MATCH($A356,Credit_KPIs_Tbl[Date - التاريخ],0)),""))</f>
        <v/>
      </c>
      <c r="F356">
        <f>IF($A356&gt;TODAY(),"",SUMIFS(Collection_Summary_Tbl[Amount - المبلغ],Collection_Summary_Tbl[Item - البند],"الاجمالي",Collection_Summary_Tbl[Date To - الى],$A356))</f>
        <v/>
      </c>
      <c r="G356">
        <f>IF($A356&gt;TODAY(),"",SUMIFS(Sales_Tbl[Count - العدد],Sales_Tbl[Date - التاريخ],$A356))</f>
        <v/>
      </c>
      <c r="H356">
        <f>IF($A356&gt;TODAY(),"",SUMIFS(Sales_Tbl[Count - العدد],Sales_Tbl[Status - الحالة],"Accepted - تم التنفيذ",Sales_Tbl[Date - التاريخ],$A356))</f>
        <v/>
      </c>
      <c r="I356">
        <f>IF($A356&gt;TODAY(),"",SUMIFS(Customer_Care_Tbl[Active - نشط],Customer_Care_Tbl[Date - التاريخ],$A356))</f>
        <v/>
      </c>
      <c r="J356">
        <f>IF($A356&gt;TODAY(),"",SUMIFS(Customer_Care_Tbl[Close - مغلق],Customer_Care_Tbl[Date - التاريخ],$A356))</f>
        <v/>
      </c>
    </row>
    <row r="357">
      <c r="A357">
        <f>A356+1</f>
        <v/>
      </c>
      <c r="B357">
        <f>IF($A357&gt;TODAY(),"",IFERROR(INDEX(Credit_KPIs_Tbl[Total Financing Amount],MATCH($A357,Credit_KPIs_Tbl[Date - التاريخ],0)),""))</f>
        <v/>
      </c>
      <c r="C357">
        <f>IF($A357&gt;TODAY(),"",IFERROR(INDEX(Credit_KPIs_Tbl[Today Financing Amount],MATCH($A357,Credit_KPIs_Tbl[Date - التاريخ],0)),""))</f>
        <v/>
      </c>
      <c r="D357">
        <f>IF($A357&gt;TODAY(),"",IFERROR(INDEX(Credit_KPIs_Tbl[Total Number Contracts],MATCH($A357,Credit_KPIs_Tbl[Date - التاريخ],0)),""))</f>
        <v/>
      </c>
      <c r="E357">
        <f>IF($A357&gt;TODAY(),"",IFERROR(INDEX(Credit_KPIs_Tbl[Cancelled],MATCH($A357,Credit_KPIs_Tbl[Date - التاريخ],0)),""))</f>
        <v/>
      </c>
      <c r="F357">
        <f>IF($A357&gt;TODAY(),"",SUMIFS(Collection_Summary_Tbl[Amount - المبلغ],Collection_Summary_Tbl[Item - البند],"الاجمالي",Collection_Summary_Tbl[Date To - الى],$A357))</f>
        <v/>
      </c>
      <c r="G357">
        <f>IF($A357&gt;TODAY(),"",SUMIFS(Sales_Tbl[Count - العدد],Sales_Tbl[Date - التاريخ],$A357))</f>
        <v/>
      </c>
      <c r="H357">
        <f>IF($A357&gt;TODAY(),"",SUMIFS(Sales_Tbl[Count - العدد],Sales_Tbl[Status - الحالة],"Accepted - تم التنفيذ",Sales_Tbl[Date - التاريخ],$A357))</f>
        <v/>
      </c>
      <c r="I357">
        <f>IF($A357&gt;TODAY(),"",SUMIFS(Customer_Care_Tbl[Active - نشط],Customer_Care_Tbl[Date - التاريخ],$A357))</f>
        <v/>
      </c>
      <c r="J357">
        <f>IF($A357&gt;TODAY(),"",SUMIFS(Customer_Care_Tbl[Close - مغلق],Customer_Care_Tbl[Date - التاريخ],$A357))</f>
        <v/>
      </c>
    </row>
    <row r="358">
      <c r="A358">
        <f>A357+1</f>
        <v/>
      </c>
      <c r="B358">
        <f>IF($A358&gt;TODAY(),"",IFERROR(INDEX(Credit_KPIs_Tbl[Total Financing Amount],MATCH($A358,Credit_KPIs_Tbl[Date - التاريخ],0)),""))</f>
        <v/>
      </c>
      <c r="C358">
        <f>IF($A358&gt;TODAY(),"",IFERROR(INDEX(Credit_KPIs_Tbl[Today Financing Amount],MATCH($A358,Credit_KPIs_Tbl[Date - التاريخ],0)),""))</f>
        <v/>
      </c>
      <c r="D358">
        <f>IF($A358&gt;TODAY(),"",IFERROR(INDEX(Credit_KPIs_Tbl[Total Number Contracts],MATCH($A358,Credit_KPIs_Tbl[Date - التاريخ],0)),""))</f>
        <v/>
      </c>
      <c r="E358">
        <f>IF($A358&gt;TODAY(),"",IFERROR(INDEX(Credit_KPIs_Tbl[Cancelled],MATCH($A358,Credit_KPIs_Tbl[Date - التاريخ],0)),""))</f>
        <v/>
      </c>
      <c r="F358">
        <f>IF($A358&gt;TODAY(),"",SUMIFS(Collection_Summary_Tbl[Amount - المبلغ],Collection_Summary_Tbl[Item - البند],"الاجمالي",Collection_Summary_Tbl[Date To - الى],$A358))</f>
        <v/>
      </c>
      <c r="G358">
        <f>IF($A358&gt;TODAY(),"",SUMIFS(Sales_Tbl[Count - العدد],Sales_Tbl[Date - التاريخ],$A358))</f>
        <v/>
      </c>
      <c r="H358">
        <f>IF($A358&gt;TODAY(),"",SUMIFS(Sales_Tbl[Count - العدد],Sales_Tbl[Status - الحالة],"Accepted - تم التنفيذ",Sales_Tbl[Date - التاريخ],$A358))</f>
        <v/>
      </c>
      <c r="I358">
        <f>IF($A358&gt;TODAY(),"",SUMIFS(Customer_Care_Tbl[Active - نشط],Customer_Care_Tbl[Date - التاريخ],$A358))</f>
        <v/>
      </c>
      <c r="J358">
        <f>IF($A358&gt;TODAY(),"",SUMIFS(Customer_Care_Tbl[Close - مغلق],Customer_Care_Tbl[Date - التاريخ],$A358))</f>
        <v/>
      </c>
    </row>
    <row r="359">
      <c r="A359">
        <f>A358+1</f>
        <v/>
      </c>
      <c r="B359">
        <f>IF($A359&gt;TODAY(),"",IFERROR(INDEX(Credit_KPIs_Tbl[Total Financing Amount],MATCH($A359,Credit_KPIs_Tbl[Date - التاريخ],0)),""))</f>
        <v/>
      </c>
      <c r="C359">
        <f>IF($A359&gt;TODAY(),"",IFERROR(INDEX(Credit_KPIs_Tbl[Today Financing Amount],MATCH($A359,Credit_KPIs_Tbl[Date - التاريخ],0)),""))</f>
        <v/>
      </c>
      <c r="D359">
        <f>IF($A359&gt;TODAY(),"",IFERROR(INDEX(Credit_KPIs_Tbl[Total Number Contracts],MATCH($A359,Credit_KPIs_Tbl[Date - التاريخ],0)),""))</f>
        <v/>
      </c>
      <c r="E359">
        <f>IF($A359&gt;TODAY(),"",IFERROR(INDEX(Credit_KPIs_Tbl[Cancelled],MATCH($A359,Credit_KPIs_Tbl[Date - التاريخ],0)),""))</f>
        <v/>
      </c>
      <c r="F359">
        <f>IF($A359&gt;TODAY(),"",SUMIFS(Collection_Summary_Tbl[Amount - المبلغ],Collection_Summary_Tbl[Item - البند],"الاجمالي",Collection_Summary_Tbl[Date To - الى],$A359))</f>
        <v/>
      </c>
      <c r="G359">
        <f>IF($A359&gt;TODAY(),"",SUMIFS(Sales_Tbl[Count - العدد],Sales_Tbl[Date - التاريخ],$A359))</f>
        <v/>
      </c>
      <c r="H359">
        <f>IF($A359&gt;TODAY(),"",SUMIFS(Sales_Tbl[Count - العدد],Sales_Tbl[Status - الحالة],"Accepted - تم التنفيذ",Sales_Tbl[Date - التاريخ],$A359))</f>
        <v/>
      </c>
      <c r="I359">
        <f>IF($A359&gt;TODAY(),"",SUMIFS(Customer_Care_Tbl[Active - نشط],Customer_Care_Tbl[Date - التاريخ],$A359))</f>
        <v/>
      </c>
      <c r="J359">
        <f>IF($A359&gt;TODAY(),"",SUMIFS(Customer_Care_Tbl[Close - مغلق],Customer_Care_Tbl[Date - التاريخ],$A359))</f>
        <v/>
      </c>
    </row>
    <row r="360">
      <c r="A360">
        <f>A359+1</f>
        <v/>
      </c>
      <c r="B360">
        <f>IF($A360&gt;TODAY(),"",IFERROR(INDEX(Credit_KPIs_Tbl[Total Financing Amount],MATCH($A360,Credit_KPIs_Tbl[Date - التاريخ],0)),""))</f>
        <v/>
      </c>
      <c r="C360">
        <f>IF($A360&gt;TODAY(),"",IFERROR(INDEX(Credit_KPIs_Tbl[Today Financing Amount],MATCH($A360,Credit_KPIs_Tbl[Date - التاريخ],0)),""))</f>
        <v/>
      </c>
      <c r="D360">
        <f>IF($A360&gt;TODAY(),"",IFERROR(INDEX(Credit_KPIs_Tbl[Total Number Contracts],MATCH($A360,Credit_KPIs_Tbl[Date - التاريخ],0)),""))</f>
        <v/>
      </c>
      <c r="E360">
        <f>IF($A360&gt;TODAY(),"",IFERROR(INDEX(Credit_KPIs_Tbl[Cancelled],MATCH($A360,Credit_KPIs_Tbl[Date - التاريخ],0)),""))</f>
        <v/>
      </c>
      <c r="F360">
        <f>IF($A360&gt;TODAY(),"",SUMIFS(Collection_Summary_Tbl[Amount - المبلغ],Collection_Summary_Tbl[Item - البند],"الاجمالي",Collection_Summary_Tbl[Date To - الى],$A360))</f>
        <v/>
      </c>
      <c r="G360">
        <f>IF($A360&gt;TODAY(),"",SUMIFS(Sales_Tbl[Count - العدد],Sales_Tbl[Date - التاريخ],$A360))</f>
        <v/>
      </c>
      <c r="H360">
        <f>IF($A360&gt;TODAY(),"",SUMIFS(Sales_Tbl[Count - العدد],Sales_Tbl[Status - الحالة],"Accepted - تم التنفيذ",Sales_Tbl[Date - التاريخ],$A360))</f>
        <v/>
      </c>
      <c r="I360">
        <f>IF($A360&gt;TODAY(),"",SUMIFS(Customer_Care_Tbl[Active - نشط],Customer_Care_Tbl[Date - التاريخ],$A360))</f>
        <v/>
      </c>
      <c r="J360">
        <f>IF($A360&gt;TODAY(),"",SUMIFS(Customer_Care_Tbl[Close - مغلق],Customer_Care_Tbl[Date - التاريخ],$A360))</f>
        <v/>
      </c>
    </row>
    <row r="361">
      <c r="A361">
        <f>A360+1</f>
        <v/>
      </c>
      <c r="B361">
        <f>IF($A361&gt;TODAY(),"",IFERROR(INDEX(Credit_KPIs_Tbl[Total Financing Amount],MATCH($A361,Credit_KPIs_Tbl[Date - التاريخ],0)),""))</f>
        <v/>
      </c>
      <c r="C361">
        <f>IF($A361&gt;TODAY(),"",IFERROR(INDEX(Credit_KPIs_Tbl[Today Financing Amount],MATCH($A361,Credit_KPIs_Tbl[Date - التاريخ],0)),""))</f>
        <v/>
      </c>
      <c r="D361">
        <f>IF($A361&gt;TODAY(),"",IFERROR(INDEX(Credit_KPIs_Tbl[Total Number Contracts],MATCH($A361,Credit_KPIs_Tbl[Date - التاريخ],0)),""))</f>
        <v/>
      </c>
      <c r="E361">
        <f>IF($A361&gt;TODAY(),"",IFERROR(INDEX(Credit_KPIs_Tbl[Cancelled],MATCH($A361,Credit_KPIs_Tbl[Date - التاريخ],0)),""))</f>
        <v/>
      </c>
      <c r="F361">
        <f>IF($A361&gt;TODAY(),"",SUMIFS(Collection_Summary_Tbl[Amount - المبلغ],Collection_Summary_Tbl[Item - البند],"الاجمالي",Collection_Summary_Tbl[Date To - الى],$A361))</f>
        <v/>
      </c>
      <c r="G361">
        <f>IF($A361&gt;TODAY(),"",SUMIFS(Sales_Tbl[Count - العدد],Sales_Tbl[Date - التاريخ],$A361))</f>
        <v/>
      </c>
      <c r="H361">
        <f>IF($A361&gt;TODAY(),"",SUMIFS(Sales_Tbl[Count - العدد],Sales_Tbl[Status - الحالة],"Accepted - تم التنفيذ",Sales_Tbl[Date - التاريخ],$A361))</f>
        <v/>
      </c>
      <c r="I361">
        <f>IF($A361&gt;TODAY(),"",SUMIFS(Customer_Care_Tbl[Active - نشط],Customer_Care_Tbl[Date - التاريخ],$A361))</f>
        <v/>
      </c>
      <c r="J361">
        <f>IF($A361&gt;TODAY(),"",SUMIFS(Customer_Care_Tbl[Close - مغلق],Customer_Care_Tbl[Date - التاريخ],$A361))</f>
        <v/>
      </c>
    </row>
    <row r="362">
      <c r="A362">
        <f>A361+1</f>
        <v/>
      </c>
      <c r="B362">
        <f>IF($A362&gt;TODAY(),"",IFERROR(INDEX(Credit_KPIs_Tbl[Total Financing Amount],MATCH($A362,Credit_KPIs_Tbl[Date - التاريخ],0)),""))</f>
        <v/>
      </c>
      <c r="C362">
        <f>IF($A362&gt;TODAY(),"",IFERROR(INDEX(Credit_KPIs_Tbl[Today Financing Amount],MATCH($A362,Credit_KPIs_Tbl[Date - التاريخ],0)),""))</f>
        <v/>
      </c>
      <c r="D362">
        <f>IF($A362&gt;TODAY(),"",IFERROR(INDEX(Credit_KPIs_Tbl[Total Number Contracts],MATCH($A362,Credit_KPIs_Tbl[Date - التاريخ],0)),""))</f>
        <v/>
      </c>
      <c r="E362">
        <f>IF($A362&gt;TODAY(),"",IFERROR(INDEX(Credit_KPIs_Tbl[Cancelled],MATCH($A362,Credit_KPIs_Tbl[Date - التاريخ],0)),""))</f>
        <v/>
      </c>
      <c r="F362">
        <f>IF($A362&gt;TODAY(),"",SUMIFS(Collection_Summary_Tbl[Amount - المبلغ],Collection_Summary_Tbl[Item - البند],"الاجمالي",Collection_Summary_Tbl[Date To - الى],$A362))</f>
        <v/>
      </c>
      <c r="G362">
        <f>IF($A362&gt;TODAY(),"",SUMIFS(Sales_Tbl[Count - العدد],Sales_Tbl[Date - التاريخ],$A362))</f>
        <v/>
      </c>
      <c r="H362">
        <f>IF($A362&gt;TODAY(),"",SUMIFS(Sales_Tbl[Count - العدد],Sales_Tbl[Status - الحالة],"Accepted - تم التنفيذ",Sales_Tbl[Date - التاريخ],$A362))</f>
        <v/>
      </c>
      <c r="I362">
        <f>IF($A362&gt;TODAY(),"",SUMIFS(Customer_Care_Tbl[Active - نشط],Customer_Care_Tbl[Date - التاريخ],$A362))</f>
        <v/>
      </c>
      <c r="J362">
        <f>IF($A362&gt;TODAY(),"",SUMIFS(Customer_Care_Tbl[Close - مغلق],Customer_Care_Tbl[Date - التاريخ],$A362))</f>
        <v/>
      </c>
    </row>
    <row r="363">
      <c r="A363">
        <f>A362+1</f>
        <v/>
      </c>
      <c r="B363">
        <f>IF($A363&gt;TODAY(),"",IFERROR(INDEX(Credit_KPIs_Tbl[Total Financing Amount],MATCH($A363,Credit_KPIs_Tbl[Date - التاريخ],0)),""))</f>
        <v/>
      </c>
      <c r="C363">
        <f>IF($A363&gt;TODAY(),"",IFERROR(INDEX(Credit_KPIs_Tbl[Today Financing Amount],MATCH($A363,Credit_KPIs_Tbl[Date - التاريخ],0)),""))</f>
        <v/>
      </c>
      <c r="D363">
        <f>IF($A363&gt;TODAY(),"",IFERROR(INDEX(Credit_KPIs_Tbl[Total Number Contracts],MATCH($A363,Credit_KPIs_Tbl[Date - التاريخ],0)),""))</f>
        <v/>
      </c>
      <c r="E363">
        <f>IF($A363&gt;TODAY(),"",IFERROR(INDEX(Credit_KPIs_Tbl[Cancelled],MATCH($A363,Credit_KPIs_Tbl[Date - التاريخ],0)),""))</f>
        <v/>
      </c>
      <c r="F363">
        <f>IF($A363&gt;TODAY(),"",SUMIFS(Collection_Summary_Tbl[Amount - المبلغ],Collection_Summary_Tbl[Item - البند],"الاجمالي",Collection_Summary_Tbl[Date To - الى],$A363))</f>
        <v/>
      </c>
      <c r="G363">
        <f>IF($A363&gt;TODAY(),"",SUMIFS(Sales_Tbl[Count - العدد],Sales_Tbl[Date - التاريخ],$A363))</f>
        <v/>
      </c>
      <c r="H363">
        <f>IF($A363&gt;TODAY(),"",SUMIFS(Sales_Tbl[Count - العدد],Sales_Tbl[Status - الحالة],"Accepted - تم التنفيذ",Sales_Tbl[Date - التاريخ],$A363))</f>
        <v/>
      </c>
      <c r="I363">
        <f>IF($A363&gt;TODAY(),"",SUMIFS(Customer_Care_Tbl[Active - نشط],Customer_Care_Tbl[Date - التاريخ],$A363))</f>
        <v/>
      </c>
      <c r="J363">
        <f>IF($A363&gt;TODAY(),"",SUMIFS(Customer_Care_Tbl[Close - مغلق],Customer_Care_Tbl[Date - التاريخ],$A363))</f>
        <v/>
      </c>
    </row>
    <row r="364">
      <c r="A364">
        <f>A363+1</f>
        <v/>
      </c>
      <c r="B364">
        <f>IF($A364&gt;TODAY(),"",IFERROR(INDEX(Credit_KPIs_Tbl[Total Financing Amount],MATCH($A364,Credit_KPIs_Tbl[Date - التاريخ],0)),""))</f>
        <v/>
      </c>
      <c r="C364">
        <f>IF($A364&gt;TODAY(),"",IFERROR(INDEX(Credit_KPIs_Tbl[Today Financing Amount],MATCH($A364,Credit_KPIs_Tbl[Date - التاريخ],0)),""))</f>
        <v/>
      </c>
      <c r="D364">
        <f>IF($A364&gt;TODAY(),"",IFERROR(INDEX(Credit_KPIs_Tbl[Total Number Contracts],MATCH($A364,Credit_KPIs_Tbl[Date - التاريخ],0)),""))</f>
        <v/>
      </c>
      <c r="E364">
        <f>IF($A364&gt;TODAY(),"",IFERROR(INDEX(Credit_KPIs_Tbl[Cancelled],MATCH($A364,Credit_KPIs_Tbl[Date - التاريخ],0)),""))</f>
        <v/>
      </c>
      <c r="F364">
        <f>IF($A364&gt;TODAY(),"",SUMIFS(Collection_Summary_Tbl[Amount - المبلغ],Collection_Summary_Tbl[Item - البند],"الاجمالي",Collection_Summary_Tbl[Date To - الى],$A364))</f>
        <v/>
      </c>
      <c r="G364">
        <f>IF($A364&gt;TODAY(),"",SUMIFS(Sales_Tbl[Count - العدد],Sales_Tbl[Date - التاريخ],$A364))</f>
        <v/>
      </c>
      <c r="H364">
        <f>IF($A364&gt;TODAY(),"",SUMIFS(Sales_Tbl[Count - العدد],Sales_Tbl[Status - الحالة],"Accepted - تم التنفيذ",Sales_Tbl[Date - التاريخ],$A364))</f>
        <v/>
      </c>
      <c r="I364">
        <f>IF($A364&gt;TODAY(),"",SUMIFS(Customer_Care_Tbl[Active - نشط],Customer_Care_Tbl[Date - التاريخ],$A364))</f>
        <v/>
      </c>
      <c r="J364">
        <f>IF($A364&gt;TODAY(),"",SUMIFS(Customer_Care_Tbl[Close - مغلق],Customer_Care_Tbl[Date - التاريخ],$A364))</f>
        <v/>
      </c>
    </row>
    <row r="365">
      <c r="A365">
        <f>A364+1</f>
        <v/>
      </c>
      <c r="B365">
        <f>IF($A365&gt;TODAY(),"",IFERROR(INDEX(Credit_KPIs_Tbl[Total Financing Amount],MATCH($A365,Credit_KPIs_Tbl[Date - التاريخ],0)),""))</f>
        <v/>
      </c>
      <c r="C365">
        <f>IF($A365&gt;TODAY(),"",IFERROR(INDEX(Credit_KPIs_Tbl[Today Financing Amount],MATCH($A365,Credit_KPIs_Tbl[Date - التاريخ],0)),""))</f>
        <v/>
      </c>
      <c r="D365">
        <f>IF($A365&gt;TODAY(),"",IFERROR(INDEX(Credit_KPIs_Tbl[Total Number Contracts],MATCH($A365,Credit_KPIs_Tbl[Date - التاريخ],0)),""))</f>
        <v/>
      </c>
      <c r="E365">
        <f>IF($A365&gt;TODAY(),"",IFERROR(INDEX(Credit_KPIs_Tbl[Cancelled],MATCH($A365,Credit_KPIs_Tbl[Date - التاريخ],0)),""))</f>
        <v/>
      </c>
      <c r="F365">
        <f>IF($A365&gt;TODAY(),"",SUMIFS(Collection_Summary_Tbl[Amount - المبلغ],Collection_Summary_Tbl[Item - البند],"الاجمالي",Collection_Summary_Tbl[Date To - الى],$A365))</f>
        <v/>
      </c>
      <c r="G365">
        <f>IF($A365&gt;TODAY(),"",SUMIFS(Sales_Tbl[Count - العدد],Sales_Tbl[Date - التاريخ],$A365))</f>
        <v/>
      </c>
      <c r="H365">
        <f>IF($A365&gt;TODAY(),"",SUMIFS(Sales_Tbl[Count - العدد],Sales_Tbl[Status - الحالة],"Accepted - تم التنفيذ",Sales_Tbl[Date - التاريخ],$A365))</f>
        <v/>
      </c>
      <c r="I365">
        <f>IF($A365&gt;TODAY(),"",SUMIFS(Customer_Care_Tbl[Active - نشط],Customer_Care_Tbl[Date - التاريخ],$A365))</f>
        <v/>
      </c>
      <c r="J365">
        <f>IF($A365&gt;TODAY(),"",SUMIFS(Customer_Care_Tbl[Close - مغلق],Customer_Care_Tbl[Date - التاريخ],$A365))</f>
        <v/>
      </c>
    </row>
    <row r="366">
      <c r="A366">
        <f>A365+1</f>
        <v/>
      </c>
      <c r="B366">
        <f>IF($A366&gt;TODAY(),"",IFERROR(INDEX(Credit_KPIs_Tbl[Total Financing Amount],MATCH($A366,Credit_KPIs_Tbl[Date - التاريخ],0)),""))</f>
        <v/>
      </c>
      <c r="C366">
        <f>IF($A366&gt;TODAY(),"",IFERROR(INDEX(Credit_KPIs_Tbl[Today Financing Amount],MATCH($A366,Credit_KPIs_Tbl[Date - التاريخ],0)),""))</f>
        <v/>
      </c>
      <c r="D366">
        <f>IF($A366&gt;TODAY(),"",IFERROR(INDEX(Credit_KPIs_Tbl[Total Number Contracts],MATCH($A366,Credit_KPIs_Tbl[Date - التاريخ],0)),""))</f>
        <v/>
      </c>
      <c r="E366">
        <f>IF($A366&gt;TODAY(),"",IFERROR(INDEX(Credit_KPIs_Tbl[Cancelled],MATCH($A366,Credit_KPIs_Tbl[Date - التاريخ],0)),""))</f>
        <v/>
      </c>
      <c r="F366">
        <f>IF($A366&gt;TODAY(),"",SUMIFS(Collection_Summary_Tbl[Amount - المبلغ],Collection_Summary_Tbl[Item - البند],"الاجمالي",Collection_Summary_Tbl[Date To - الى],$A366))</f>
        <v/>
      </c>
      <c r="G366">
        <f>IF($A366&gt;TODAY(),"",SUMIFS(Sales_Tbl[Count - العدد],Sales_Tbl[Date - التاريخ],$A366))</f>
        <v/>
      </c>
      <c r="H366">
        <f>IF($A366&gt;TODAY(),"",SUMIFS(Sales_Tbl[Count - العدد],Sales_Tbl[Status - الحالة],"Accepted - تم التنفيذ",Sales_Tbl[Date - التاريخ],$A366))</f>
        <v/>
      </c>
      <c r="I366">
        <f>IF($A366&gt;TODAY(),"",SUMIFS(Customer_Care_Tbl[Active - نشط],Customer_Care_Tbl[Date - التاريخ],$A366))</f>
        <v/>
      </c>
      <c r="J366">
        <f>IF($A366&gt;TODAY(),"",SUMIFS(Customer_Care_Tbl[Close - مغلق],Customer_Care_Tbl[Date - التاريخ],$A366))</f>
        <v/>
      </c>
    </row>
    <row r="367">
      <c r="A367">
        <f>A366+1</f>
        <v/>
      </c>
      <c r="B367">
        <f>IF($A367&gt;TODAY(),"",IFERROR(INDEX(Credit_KPIs_Tbl[Total Financing Amount],MATCH($A367,Credit_KPIs_Tbl[Date - التاريخ],0)),""))</f>
        <v/>
      </c>
      <c r="C367">
        <f>IF($A367&gt;TODAY(),"",IFERROR(INDEX(Credit_KPIs_Tbl[Today Financing Amount],MATCH($A367,Credit_KPIs_Tbl[Date - التاريخ],0)),""))</f>
        <v/>
      </c>
      <c r="D367">
        <f>IF($A367&gt;TODAY(),"",IFERROR(INDEX(Credit_KPIs_Tbl[Total Number Contracts],MATCH($A367,Credit_KPIs_Tbl[Date - التاريخ],0)),""))</f>
        <v/>
      </c>
      <c r="E367">
        <f>IF($A367&gt;TODAY(),"",IFERROR(INDEX(Credit_KPIs_Tbl[Cancelled],MATCH($A367,Credit_KPIs_Tbl[Date - التاريخ],0)),""))</f>
        <v/>
      </c>
      <c r="F367">
        <f>IF($A367&gt;TODAY(),"",SUMIFS(Collection_Summary_Tbl[Amount - المبلغ],Collection_Summary_Tbl[Item - البند],"الاجمالي",Collection_Summary_Tbl[Date To - الى],$A367))</f>
        <v/>
      </c>
      <c r="G367">
        <f>IF($A367&gt;TODAY(),"",SUMIFS(Sales_Tbl[Count - العدد],Sales_Tbl[Date - التاريخ],$A367))</f>
        <v/>
      </c>
      <c r="H367">
        <f>IF($A367&gt;TODAY(),"",SUMIFS(Sales_Tbl[Count - العدد],Sales_Tbl[Status - الحالة],"Accepted - تم التنفيذ",Sales_Tbl[Date - التاريخ],$A367))</f>
        <v/>
      </c>
      <c r="I367">
        <f>IF($A367&gt;TODAY(),"",SUMIFS(Customer_Care_Tbl[Active - نشط],Customer_Care_Tbl[Date - التاريخ],$A367))</f>
        <v/>
      </c>
      <c r="J367">
        <f>IF($A367&gt;TODAY(),"",SUMIFS(Customer_Care_Tbl[Close - مغلق],Customer_Care_Tbl[Date - التاريخ],$A367))</f>
        <v/>
      </c>
    </row>
    <row r="368">
      <c r="A368">
        <f>A367+1</f>
        <v/>
      </c>
      <c r="B368">
        <f>IF($A368&gt;TODAY(),"",IFERROR(INDEX(Credit_KPIs_Tbl[Total Financing Amount],MATCH($A368,Credit_KPIs_Tbl[Date - التاريخ],0)),""))</f>
        <v/>
      </c>
      <c r="C368">
        <f>IF($A368&gt;TODAY(),"",IFERROR(INDEX(Credit_KPIs_Tbl[Today Financing Amount],MATCH($A368,Credit_KPIs_Tbl[Date - التاريخ],0)),""))</f>
        <v/>
      </c>
      <c r="D368">
        <f>IF($A368&gt;TODAY(),"",IFERROR(INDEX(Credit_KPIs_Tbl[Total Number Contracts],MATCH($A368,Credit_KPIs_Tbl[Date - التاريخ],0)),""))</f>
        <v/>
      </c>
      <c r="E368">
        <f>IF($A368&gt;TODAY(),"",IFERROR(INDEX(Credit_KPIs_Tbl[Cancelled],MATCH($A368,Credit_KPIs_Tbl[Date - التاريخ],0)),""))</f>
        <v/>
      </c>
      <c r="F368">
        <f>IF($A368&gt;TODAY(),"",SUMIFS(Collection_Summary_Tbl[Amount - المبلغ],Collection_Summary_Tbl[Item - البند],"الاجمالي",Collection_Summary_Tbl[Date To - الى],$A368))</f>
        <v/>
      </c>
      <c r="G368">
        <f>IF($A368&gt;TODAY(),"",SUMIFS(Sales_Tbl[Count - العدد],Sales_Tbl[Date - التاريخ],$A368))</f>
        <v/>
      </c>
      <c r="H368">
        <f>IF($A368&gt;TODAY(),"",SUMIFS(Sales_Tbl[Count - العدد],Sales_Tbl[Status - الحالة],"Accepted - تم التنفيذ",Sales_Tbl[Date - التاريخ],$A368))</f>
        <v/>
      </c>
      <c r="I368">
        <f>IF($A368&gt;TODAY(),"",SUMIFS(Customer_Care_Tbl[Active - نشط],Customer_Care_Tbl[Date - التاريخ],$A368))</f>
        <v/>
      </c>
      <c r="J368">
        <f>IF($A368&gt;TODAY(),"",SUMIFS(Customer_Care_Tbl[Close - مغلق],Customer_Care_Tbl[Date - التاريخ],$A368))</f>
        <v/>
      </c>
    </row>
    <row r="369">
      <c r="A369">
        <f>A368+1</f>
        <v/>
      </c>
      <c r="B369">
        <f>IF($A369&gt;TODAY(),"",IFERROR(INDEX(Credit_KPIs_Tbl[Total Financing Amount],MATCH($A369,Credit_KPIs_Tbl[Date - التاريخ],0)),""))</f>
        <v/>
      </c>
      <c r="C369">
        <f>IF($A369&gt;TODAY(),"",IFERROR(INDEX(Credit_KPIs_Tbl[Today Financing Amount],MATCH($A369,Credit_KPIs_Tbl[Date - التاريخ],0)),""))</f>
        <v/>
      </c>
      <c r="D369">
        <f>IF($A369&gt;TODAY(),"",IFERROR(INDEX(Credit_KPIs_Tbl[Total Number Contracts],MATCH($A369,Credit_KPIs_Tbl[Date - التاريخ],0)),""))</f>
        <v/>
      </c>
      <c r="E369">
        <f>IF($A369&gt;TODAY(),"",IFERROR(INDEX(Credit_KPIs_Tbl[Cancelled],MATCH($A369,Credit_KPIs_Tbl[Date - التاريخ],0)),""))</f>
        <v/>
      </c>
      <c r="F369">
        <f>IF($A369&gt;TODAY(),"",SUMIFS(Collection_Summary_Tbl[Amount - المبلغ],Collection_Summary_Tbl[Item - البند],"الاجمالي",Collection_Summary_Tbl[Date To - الى],$A369))</f>
        <v/>
      </c>
      <c r="G369">
        <f>IF($A369&gt;TODAY(),"",SUMIFS(Sales_Tbl[Count - العدد],Sales_Tbl[Date - التاريخ],$A369))</f>
        <v/>
      </c>
      <c r="H369">
        <f>IF($A369&gt;TODAY(),"",SUMIFS(Sales_Tbl[Count - العدد],Sales_Tbl[Status - الحالة],"Accepted - تم التنفيذ",Sales_Tbl[Date - التاريخ],$A369))</f>
        <v/>
      </c>
      <c r="I369">
        <f>IF($A369&gt;TODAY(),"",SUMIFS(Customer_Care_Tbl[Active - نشط],Customer_Care_Tbl[Date - التاريخ],$A369))</f>
        <v/>
      </c>
      <c r="J369">
        <f>IF($A369&gt;TODAY(),"",SUMIFS(Customer_Care_Tbl[Close - مغلق],Customer_Care_Tbl[Date - التاريخ],$A369))</f>
        <v/>
      </c>
    </row>
    <row r="370">
      <c r="A370">
        <f>A369+1</f>
        <v/>
      </c>
      <c r="B370">
        <f>IF($A370&gt;TODAY(),"",IFERROR(INDEX(Credit_KPIs_Tbl[Total Financing Amount],MATCH($A370,Credit_KPIs_Tbl[Date - التاريخ],0)),""))</f>
        <v/>
      </c>
      <c r="C370">
        <f>IF($A370&gt;TODAY(),"",IFERROR(INDEX(Credit_KPIs_Tbl[Today Financing Amount],MATCH($A370,Credit_KPIs_Tbl[Date - التاريخ],0)),""))</f>
        <v/>
      </c>
      <c r="D370">
        <f>IF($A370&gt;TODAY(),"",IFERROR(INDEX(Credit_KPIs_Tbl[Total Number Contracts],MATCH($A370,Credit_KPIs_Tbl[Date - التاريخ],0)),""))</f>
        <v/>
      </c>
      <c r="E370">
        <f>IF($A370&gt;TODAY(),"",IFERROR(INDEX(Credit_KPIs_Tbl[Cancelled],MATCH($A370,Credit_KPIs_Tbl[Date - التاريخ],0)),""))</f>
        <v/>
      </c>
      <c r="F370">
        <f>IF($A370&gt;TODAY(),"",SUMIFS(Collection_Summary_Tbl[Amount - المبلغ],Collection_Summary_Tbl[Item - البند],"الاجمالي",Collection_Summary_Tbl[Date To - الى],$A370))</f>
        <v/>
      </c>
      <c r="G370">
        <f>IF($A370&gt;TODAY(),"",SUMIFS(Sales_Tbl[Count - العدد],Sales_Tbl[Date - التاريخ],$A370))</f>
        <v/>
      </c>
      <c r="H370">
        <f>IF($A370&gt;TODAY(),"",SUMIFS(Sales_Tbl[Count - العدد],Sales_Tbl[Status - الحالة],"Accepted - تم التنفيذ",Sales_Tbl[Date - التاريخ],$A370))</f>
        <v/>
      </c>
      <c r="I370">
        <f>IF($A370&gt;TODAY(),"",SUMIFS(Customer_Care_Tbl[Active - نشط],Customer_Care_Tbl[Date - التاريخ],$A370))</f>
        <v/>
      </c>
      <c r="J370">
        <f>IF($A370&gt;TODAY(),"",SUMIFS(Customer_Care_Tbl[Close - مغلق],Customer_Care_Tbl[Date - التاريخ],$A370))</f>
        <v/>
      </c>
    </row>
    <row r="371">
      <c r="A371">
        <f>A370+1</f>
        <v/>
      </c>
      <c r="B371">
        <f>IF($A371&gt;TODAY(),"",IFERROR(INDEX(Credit_KPIs_Tbl[Total Financing Amount],MATCH($A371,Credit_KPIs_Tbl[Date - التاريخ],0)),""))</f>
        <v/>
      </c>
      <c r="C371">
        <f>IF($A371&gt;TODAY(),"",IFERROR(INDEX(Credit_KPIs_Tbl[Today Financing Amount],MATCH($A371,Credit_KPIs_Tbl[Date - التاريخ],0)),""))</f>
        <v/>
      </c>
      <c r="D371">
        <f>IF($A371&gt;TODAY(),"",IFERROR(INDEX(Credit_KPIs_Tbl[Total Number Contracts],MATCH($A371,Credit_KPIs_Tbl[Date - التاريخ],0)),""))</f>
        <v/>
      </c>
      <c r="E371">
        <f>IF($A371&gt;TODAY(),"",IFERROR(INDEX(Credit_KPIs_Tbl[Cancelled],MATCH($A371,Credit_KPIs_Tbl[Date - التاريخ],0)),""))</f>
        <v/>
      </c>
      <c r="F371">
        <f>IF($A371&gt;TODAY(),"",SUMIFS(Collection_Summary_Tbl[Amount - المبلغ],Collection_Summary_Tbl[Item - البند],"الاجمالي",Collection_Summary_Tbl[Date To - الى],$A371))</f>
        <v/>
      </c>
      <c r="G371">
        <f>IF($A371&gt;TODAY(),"",SUMIFS(Sales_Tbl[Count - العدد],Sales_Tbl[Date - التاريخ],$A371))</f>
        <v/>
      </c>
      <c r="H371">
        <f>IF($A371&gt;TODAY(),"",SUMIFS(Sales_Tbl[Count - العدد],Sales_Tbl[Status - الحالة],"Accepted - تم التنفيذ",Sales_Tbl[Date - التاريخ],$A371))</f>
        <v/>
      </c>
      <c r="I371">
        <f>IF($A371&gt;TODAY(),"",SUMIFS(Customer_Care_Tbl[Active - نشط],Customer_Care_Tbl[Date - التاريخ],$A371))</f>
        <v/>
      </c>
      <c r="J371">
        <f>IF($A371&gt;TODAY(),"",SUMIFS(Customer_Care_Tbl[Close - مغلق],Customer_Care_Tbl[Date - التاريخ],$A371))</f>
        <v/>
      </c>
    </row>
    <row r="372">
      <c r="A372">
        <f>A371+1</f>
        <v/>
      </c>
      <c r="B372">
        <f>IF($A372&gt;TODAY(),"",IFERROR(INDEX(Credit_KPIs_Tbl[Total Financing Amount],MATCH($A372,Credit_KPIs_Tbl[Date - التاريخ],0)),""))</f>
        <v/>
      </c>
      <c r="C372">
        <f>IF($A372&gt;TODAY(),"",IFERROR(INDEX(Credit_KPIs_Tbl[Today Financing Amount],MATCH($A372,Credit_KPIs_Tbl[Date - التاريخ],0)),""))</f>
        <v/>
      </c>
      <c r="D372">
        <f>IF($A372&gt;TODAY(),"",IFERROR(INDEX(Credit_KPIs_Tbl[Total Number Contracts],MATCH($A372,Credit_KPIs_Tbl[Date - التاريخ],0)),""))</f>
        <v/>
      </c>
      <c r="E372">
        <f>IF($A372&gt;TODAY(),"",IFERROR(INDEX(Credit_KPIs_Tbl[Cancelled],MATCH($A372,Credit_KPIs_Tbl[Date - التاريخ],0)),""))</f>
        <v/>
      </c>
      <c r="F372">
        <f>IF($A372&gt;TODAY(),"",SUMIFS(Collection_Summary_Tbl[Amount - المبلغ],Collection_Summary_Tbl[Item - البند],"الاجمالي",Collection_Summary_Tbl[Date To - الى],$A372))</f>
        <v/>
      </c>
      <c r="G372">
        <f>IF($A372&gt;TODAY(),"",SUMIFS(Sales_Tbl[Count - العدد],Sales_Tbl[Date - التاريخ],$A372))</f>
        <v/>
      </c>
      <c r="H372">
        <f>IF($A372&gt;TODAY(),"",SUMIFS(Sales_Tbl[Count - العدد],Sales_Tbl[Status - الحالة],"Accepted - تم التنفيذ",Sales_Tbl[Date - التاريخ],$A372))</f>
        <v/>
      </c>
      <c r="I372">
        <f>IF($A372&gt;TODAY(),"",SUMIFS(Customer_Care_Tbl[Active - نشط],Customer_Care_Tbl[Date - التاريخ],$A372))</f>
        <v/>
      </c>
      <c r="J372">
        <f>IF($A372&gt;TODAY(),"",SUMIFS(Customer_Care_Tbl[Close - مغلق],Customer_Care_Tbl[Date - التاريخ],$A372))</f>
        <v/>
      </c>
    </row>
    <row r="373">
      <c r="A373">
        <f>A372+1</f>
        <v/>
      </c>
      <c r="B373">
        <f>IF($A373&gt;TODAY(),"",IFERROR(INDEX(Credit_KPIs_Tbl[Total Financing Amount],MATCH($A373,Credit_KPIs_Tbl[Date - التاريخ],0)),""))</f>
        <v/>
      </c>
      <c r="C373">
        <f>IF($A373&gt;TODAY(),"",IFERROR(INDEX(Credit_KPIs_Tbl[Today Financing Amount],MATCH($A373,Credit_KPIs_Tbl[Date - التاريخ],0)),""))</f>
        <v/>
      </c>
      <c r="D373">
        <f>IF($A373&gt;TODAY(),"",IFERROR(INDEX(Credit_KPIs_Tbl[Total Number Contracts],MATCH($A373,Credit_KPIs_Tbl[Date - التاريخ],0)),""))</f>
        <v/>
      </c>
      <c r="E373">
        <f>IF($A373&gt;TODAY(),"",IFERROR(INDEX(Credit_KPIs_Tbl[Cancelled],MATCH($A373,Credit_KPIs_Tbl[Date - التاريخ],0)),""))</f>
        <v/>
      </c>
      <c r="F373">
        <f>IF($A373&gt;TODAY(),"",SUMIFS(Collection_Summary_Tbl[Amount - المبلغ],Collection_Summary_Tbl[Item - البند],"الاجمالي",Collection_Summary_Tbl[Date To - الى],$A373))</f>
        <v/>
      </c>
      <c r="G373">
        <f>IF($A373&gt;TODAY(),"",SUMIFS(Sales_Tbl[Count - العدد],Sales_Tbl[Date - التاريخ],$A373))</f>
        <v/>
      </c>
      <c r="H373">
        <f>IF($A373&gt;TODAY(),"",SUMIFS(Sales_Tbl[Count - العدد],Sales_Tbl[Status - الحالة],"Accepted - تم التنفيذ",Sales_Tbl[Date - التاريخ],$A373))</f>
        <v/>
      </c>
      <c r="I373">
        <f>IF($A373&gt;TODAY(),"",SUMIFS(Customer_Care_Tbl[Active - نشط],Customer_Care_Tbl[Date - التاريخ],$A373))</f>
        <v/>
      </c>
      <c r="J373">
        <f>IF($A373&gt;TODAY(),"",SUMIFS(Customer_Care_Tbl[Close - مغلق],Customer_Care_Tbl[Date - التاريخ],$A373))</f>
        <v/>
      </c>
    </row>
    <row r="374">
      <c r="A374">
        <f>A373+1</f>
        <v/>
      </c>
      <c r="B374">
        <f>IF($A374&gt;TODAY(),"",IFERROR(INDEX(Credit_KPIs_Tbl[Total Financing Amount],MATCH($A374,Credit_KPIs_Tbl[Date - التاريخ],0)),""))</f>
        <v/>
      </c>
      <c r="C374">
        <f>IF($A374&gt;TODAY(),"",IFERROR(INDEX(Credit_KPIs_Tbl[Today Financing Amount],MATCH($A374,Credit_KPIs_Tbl[Date - التاريخ],0)),""))</f>
        <v/>
      </c>
      <c r="D374">
        <f>IF($A374&gt;TODAY(),"",IFERROR(INDEX(Credit_KPIs_Tbl[Total Number Contracts],MATCH($A374,Credit_KPIs_Tbl[Date - التاريخ],0)),""))</f>
        <v/>
      </c>
      <c r="E374">
        <f>IF($A374&gt;TODAY(),"",IFERROR(INDEX(Credit_KPIs_Tbl[Cancelled],MATCH($A374,Credit_KPIs_Tbl[Date - التاريخ],0)),""))</f>
        <v/>
      </c>
      <c r="F374">
        <f>IF($A374&gt;TODAY(),"",SUMIFS(Collection_Summary_Tbl[Amount - المبلغ],Collection_Summary_Tbl[Item - البند],"الاجمالي",Collection_Summary_Tbl[Date To - الى],$A374))</f>
        <v/>
      </c>
      <c r="G374">
        <f>IF($A374&gt;TODAY(),"",SUMIFS(Sales_Tbl[Count - العدد],Sales_Tbl[Date - التاريخ],$A374))</f>
        <v/>
      </c>
      <c r="H374">
        <f>IF($A374&gt;TODAY(),"",SUMIFS(Sales_Tbl[Count - العدد],Sales_Tbl[Status - الحالة],"Accepted - تم التنفيذ",Sales_Tbl[Date - التاريخ],$A374))</f>
        <v/>
      </c>
      <c r="I374">
        <f>IF($A374&gt;TODAY(),"",SUMIFS(Customer_Care_Tbl[Active - نشط],Customer_Care_Tbl[Date - التاريخ],$A374))</f>
        <v/>
      </c>
      <c r="J374">
        <f>IF($A374&gt;TODAY(),"",SUMIFS(Customer_Care_Tbl[Close - مغلق],Customer_Care_Tbl[Date - التاريخ],$A374))</f>
        <v/>
      </c>
    </row>
    <row r="375">
      <c r="A375">
        <f>A374+1</f>
        <v/>
      </c>
      <c r="B375">
        <f>IF($A375&gt;TODAY(),"",IFERROR(INDEX(Credit_KPIs_Tbl[Total Financing Amount],MATCH($A375,Credit_KPIs_Tbl[Date - التاريخ],0)),""))</f>
        <v/>
      </c>
      <c r="C375">
        <f>IF($A375&gt;TODAY(),"",IFERROR(INDEX(Credit_KPIs_Tbl[Today Financing Amount],MATCH($A375,Credit_KPIs_Tbl[Date - التاريخ],0)),""))</f>
        <v/>
      </c>
      <c r="D375">
        <f>IF($A375&gt;TODAY(),"",IFERROR(INDEX(Credit_KPIs_Tbl[Total Number Contracts],MATCH($A375,Credit_KPIs_Tbl[Date - التاريخ],0)),""))</f>
        <v/>
      </c>
      <c r="E375">
        <f>IF($A375&gt;TODAY(),"",IFERROR(INDEX(Credit_KPIs_Tbl[Cancelled],MATCH($A375,Credit_KPIs_Tbl[Date - التاريخ],0)),""))</f>
        <v/>
      </c>
      <c r="F375">
        <f>IF($A375&gt;TODAY(),"",SUMIFS(Collection_Summary_Tbl[Amount - المبلغ],Collection_Summary_Tbl[Item - البند],"الاجمالي",Collection_Summary_Tbl[Date To - الى],$A375))</f>
        <v/>
      </c>
      <c r="G375">
        <f>IF($A375&gt;TODAY(),"",SUMIFS(Sales_Tbl[Count - العدد],Sales_Tbl[Date - التاريخ],$A375))</f>
        <v/>
      </c>
      <c r="H375">
        <f>IF($A375&gt;TODAY(),"",SUMIFS(Sales_Tbl[Count - العدد],Sales_Tbl[Status - الحالة],"Accepted - تم التنفيذ",Sales_Tbl[Date - التاريخ],$A375))</f>
        <v/>
      </c>
      <c r="I375">
        <f>IF($A375&gt;TODAY(),"",SUMIFS(Customer_Care_Tbl[Active - نشط],Customer_Care_Tbl[Date - التاريخ],$A375))</f>
        <v/>
      </c>
      <c r="J375">
        <f>IF($A375&gt;TODAY(),"",SUMIFS(Customer_Care_Tbl[Close - مغلق],Customer_Care_Tbl[Date - التاريخ],$A375))</f>
        <v/>
      </c>
    </row>
    <row r="376">
      <c r="A376">
        <f>A375+1</f>
        <v/>
      </c>
      <c r="B376">
        <f>IF($A376&gt;TODAY(),"",IFERROR(INDEX(Credit_KPIs_Tbl[Total Financing Amount],MATCH($A376,Credit_KPIs_Tbl[Date - التاريخ],0)),""))</f>
        <v/>
      </c>
      <c r="C376">
        <f>IF($A376&gt;TODAY(),"",IFERROR(INDEX(Credit_KPIs_Tbl[Today Financing Amount],MATCH($A376,Credit_KPIs_Tbl[Date - التاريخ],0)),""))</f>
        <v/>
      </c>
      <c r="D376">
        <f>IF($A376&gt;TODAY(),"",IFERROR(INDEX(Credit_KPIs_Tbl[Total Number Contracts],MATCH($A376,Credit_KPIs_Tbl[Date - التاريخ],0)),""))</f>
        <v/>
      </c>
      <c r="E376">
        <f>IF($A376&gt;TODAY(),"",IFERROR(INDEX(Credit_KPIs_Tbl[Cancelled],MATCH($A376,Credit_KPIs_Tbl[Date - التاريخ],0)),""))</f>
        <v/>
      </c>
      <c r="F376">
        <f>IF($A376&gt;TODAY(),"",SUMIFS(Collection_Summary_Tbl[Amount - المبلغ],Collection_Summary_Tbl[Item - البند],"الاجمالي",Collection_Summary_Tbl[Date To - الى],$A376))</f>
        <v/>
      </c>
      <c r="G376">
        <f>IF($A376&gt;TODAY(),"",SUMIFS(Sales_Tbl[Count - العدد],Sales_Tbl[Date - التاريخ],$A376))</f>
        <v/>
      </c>
      <c r="H376">
        <f>IF($A376&gt;TODAY(),"",SUMIFS(Sales_Tbl[Count - العدد],Sales_Tbl[Status - الحالة],"Accepted - تم التنفيذ",Sales_Tbl[Date - التاريخ],$A376))</f>
        <v/>
      </c>
      <c r="I376">
        <f>IF($A376&gt;TODAY(),"",SUMIFS(Customer_Care_Tbl[Active - نشط],Customer_Care_Tbl[Date - التاريخ],$A376))</f>
        <v/>
      </c>
      <c r="J376">
        <f>IF($A376&gt;TODAY(),"",SUMIFS(Customer_Care_Tbl[Close - مغلق],Customer_Care_Tbl[Date - التاريخ],$A376))</f>
        <v/>
      </c>
    </row>
    <row r="377">
      <c r="A377">
        <f>A376+1</f>
        <v/>
      </c>
      <c r="B377">
        <f>IF($A377&gt;TODAY(),"",IFERROR(INDEX(Credit_KPIs_Tbl[Total Financing Amount],MATCH($A377,Credit_KPIs_Tbl[Date - التاريخ],0)),""))</f>
        <v/>
      </c>
      <c r="C377">
        <f>IF($A377&gt;TODAY(),"",IFERROR(INDEX(Credit_KPIs_Tbl[Today Financing Amount],MATCH($A377,Credit_KPIs_Tbl[Date - التاريخ],0)),""))</f>
        <v/>
      </c>
      <c r="D377">
        <f>IF($A377&gt;TODAY(),"",IFERROR(INDEX(Credit_KPIs_Tbl[Total Number Contracts],MATCH($A377,Credit_KPIs_Tbl[Date - التاريخ],0)),""))</f>
        <v/>
      </c>
      <c r="E377">
        <f>IF($A377&gt;TODAY(),"",IFERROR(INDEX(Credit_KPIs_Tbl[Cancelled],MATCH($A377,Credit_KPIs_Tbl[Date - التاريخ],0)),""))</f>
        <v/>
      </c>
      <c r="F377">
        <f>IF($A377&gt;TODAY(),"",SUMIFS(Collection_Summary_Tbl[Amount - المبلغ],Collection_Summary_Tbl[Item - البند],"الاجمالي",Collection_Summary_Tbl[Date To - الى],$A377))</f>
        <v/>
      </c>
      <c r="G377">
        <f>IF($A377&gt;TODAY(),"",SUMIFS(Sales_Tbl[Count - العدد],Sales_Tbl[Date - التاريخ],$A377))</f>
        <v/>
      </c>
      <c r="H377">
        <f>IF($A377&gt;TODAY(),"",SUMIFS(Sales_Tbl[Count - العدد],Sales_Tbl[Status - الحالة],"Accepted - تم التنفيذ",Sales_Tbl[Date - التاريخ],$A377))</f>
        <v/>
      </c>
      <c r="I377">
        <f>IF($A377&gt;TODAY(),"",SUMIFS(Customer_Care_Tbl[Active - نشط],Customer_Care_Tbl[Date - التاريخ],$A377))</f>
        <v/>
      </c>
      <c r="J377">
        <f>IF($A377&gt;TODAY(),"",SUMIFS(Customer_Care_Tbl[Close - مغلق],Customer_Care_Tbl[Date - التاريخ],$A377))</f>
        <v/>
      </c>
    </row>
    <row r="378">
      <c r="A378">
        <f>A377+1</f>
        <v/>
      </c>
      <c r="B378">
        <f>IF($A378&gt;TODAY(),"",IFERROR(INDEX(Credit_KPIs_Tbl[Total Financing Amount],MATCH($A378,Credit_KPIs_Tbl[Date - التاريخ],0)),""))</f>
        <v/>
      </c>
      <c r="C378">
        <f>IF($A378&gt;TODAY(),"",IFERROR(INDEX(Credit_KPIs_Tbl[Today Financing Amount],MATCH($A378,Credit_KPIs_Tbl[Date - التاريخ],0)),""))</f>
        <v/>
      </c>
      <c r="D378">
        <f>IF($A378&gt;TODAY(),"",IFERROR(INDEX(Credit_KPIs_Tbl[Total Number Contracts],MATCH($A378,Credit_KPIs_Tbl[Date - التاريخ],0)),""))</f>
        <v/>
      </c>
      <c r="E378">
        <f>IF($A378&gt;TODAY(),"",IFERROR(INDEX(Credit_KPIs_Tbl[Cancelled],MATCH($A378,Credit_KPIs_Tbl[Date - التاريخ],0)),""))</f>
        <v/>
      </c>
      <c r="F378">
        <f>IF($A378&gt;TODAY(),"",SUMIFS(Collection_Summary_Tbl[Amount - المبلغ],Collection_Summary_Tbl[Item - البند],"الاجمالي",Collection_Summary_Tbl[Date To - الى],$A378))</f>
        <v/>
      </c>
      <c r="G378">
        <f>IF($A378&gt;TODAY(),"",SUMIFS(Sales_Tbl[Count - العدد],Sales_Tbl[Date - التاريخ],$A378))</f>
        <v/>
      </c>
      <c r="H378">
        <f>IF($A378&gt;TODAY(),"",SUMIFS(Sales_Tbl[Count - العدد],Sales_Tbl[Status - الحالة],"Accepted - تم التنفيذ",Sales_Tbl[Date - التاريخ],$A378))</f>
        <v/>
      </c>
      <c r="I378">
        <f>IF($A378&gt;TODAY(),"",SUMIFS(Customer_Care_Tbl[Active - نشط],Customer_Care_Tbl[Date - التاريخ],$A378))</f>
        <v/>
      </c>
      <c r="J378">
        <f>IF($A378&gt;TODAY(),"",SUMIFS(Customer_Care_Tbl[Close - مغلق],Customer_Care_Tbl[Date - التاريخ],$A378))</f>
        <v/>
      </c>
    </row>
    <row r="379">
      <c r="A379">
        <f>A378+1</f>
        <v/>
      </c>
      <c r="B379">
        <f>IF($A379&gt;TODAY(),"",IFERROR(INDEX(Credit_KPIs_Tbl[Total Financing Amount],MATCH($A379,Credit_KPIs_Tbl[Date - التاريخ],0)),""))</f>
        <v/>
      </c>
      <c r="C379">
        <f>IF($A379&gt;TODAY(),"",IFERROR(INDEX(Credit_KPIs_Tbl[Today Financing Amount],MATCH($A379,Credit_KPIs_Tbl[Date - التاريخ],0)),""))</f>
        <v/>
      </c>
      <c r="D379">
        <f>IF($A379&gt;TODAY(),"",IFERROR(INDEX(Credit_KPIs_Tbl[Total Number Contracts],MATCH($A379,Credit_KPIs_Tbl[Date - التاريخ],0)),""))</f>
        <v/>
      </c>
      <c r="E379">
        <f>IF($A379&gt;TODAY(),"",IFERROR(INDEX(Credit_KPIs_Tbl[Cancelled],MATCH($A379,Credit_KPIs_Tbl[Date - التاريخ],0)),""))</f>
        <v/>
      </c>
      <c r="F379">
        <f>IF($A379&gt;TODAY(),"",SUMIFS(Collection_Summary_Tbl[Amount - المبلغ],Collection_Summary_Tbl[Item - البند],"الاجمالي",Collection_Summary_Tbl[Date To - الى],$A379))</f>
        <v/>
      </c>
      <c r="G379">
        <f>IF($A379&gt;TODAY(),"",SUMIFS(Sales_Tbl[Count - العدد],Sales_Tbl[Date - التاريخ],$A379))</f>
        <v/>
      </c>
      <c r="H379">
        <f>IF($A379&gt;TODAY(),"",SUMIFS(Sales_Tbl[Count - العدد],Sales_Tbl[Status - الحالة],"Accepted - تم التنفيذ",Sales_Tbl[Date - التاريخ],$A379))</f>
        <v/>
      </c>
      <c r="I379">
        <f>IF($A379&gt;TODAY(),"",SUMIFS(Customer_Care_Tbl[Active - نشط],Customer_Care_Tbl[Date - التاريخ],$A379))</f>
        <v/>
      </c>
      <c r="J379">
        <f>IF($A379&gt;TODAY(),"",SUMIFS(Customer_Care_Tbl[Close - مغلق],Customer_Care_Tbl[Date - التاريخ],$A379))</f>
        <v/>
      </c>
    </row>
    <row r="380">
      <c r="A380">
        <f>A379+1</f>
        <v/>
      </c>
      <c r="B380">
        <f>IF($A380&gt;TODAY(),"",IFERROR(INDEX(Credit_KPIs_Tbl[Total Financing Amount],MATCH($A380,Credit_KPIs_Tbl[Date - التاريخ],0)),""))</f>
        <v/>
      </c>
      <c r="C380">
        <f>IF($A380&gt;TODAY(),"",IFERROR(INDEX(Credit_KPIs_Tbl[Today Financing Amount],MATCH($A380,Credit_KPIs_Tbl[Date - التاريخ],0)),""))</f>
        <v/>
      </c>
      <c r="D380">
        <f>IF($A380&gt;TODAY(),"",IFERROR(INDEX(Credit_KPIs_Tbl[Total Number Contracts],MATCH($A380,Credit_KPIs_Tbl[Date - التاريخ],0)),""))</f>
        <v/>
      </c>
      <c r="E380">
        <f>IF($A380&gt;TODAY(),"",IFERROR(INDEX(Credit_KPIs_Tbl[Cancelled],MATCH($A380,Credit_KPIs_Tbl[Date - التاريخ],0)),""))</f>
        <v/>
      </c>
      <c r="F380">
        <f>IF($A380&gt;TODAY(),"",SUMIFS(Collection_Summary_Tbl[Amount - المبلغ],Collection_Summary_Tbl[Item - البند],"الاجمالي",Collection_Summary_Tbl[Date To - الى],$A380))</f>
        <v/>
      </c>
      <c r="G380">
        <f>IF($A380&gt;TODAY(),"",SUMIFS(Sales_Tbl[Count - العدد],Sales_Tbl[Date - التاريخ],$A380))</f>
        <v/>
      </c>
      <c r="H380">
        <f>IF($A380&gt;TODAY(),"",SUMIFS(Sales_Tbl[Count - العدد],Sales_Tbl[Status - الحالة],"Accepted - تم التنفيذ",Sales_Tbl[Date - التاريخ],$A380))</f>
        <v/>
      </c>
      <c r="I380">
        <f>IF($A380&gt;TODAY(),"",SUMIFS(Customer_Care_Tbl[Active - نشط],Customer_Care_Tbl[Date - التاريخ],$A380))</f>
        <v/>
      </c>
      <c r="J380">
        <f>IF($A380&gt;TODAY(),"",SUMIFS(Customer_Care_Tbl[Close - مغلق],Customer_Care_Tbl[Date - التاريخ],$A380))</f>
        <v/>
      </c>
    </row>
    <row r="381">
      <c r="A381">
        <f>A380+1</f>
        <v/>
      </c>
      <c r="B381">
        <f>IF($A381&gt;TODAY(),"",IFERROR(INDEX(Credit_KPIs_Tbl[Total Financing Amount],MATCH($A381,Credit_KPIs_Tbl[Date - التاريخ],0)),""))</f>
        <v/>
      </c>
      <c r="C381">
        <f>IF($A381&gt;TODAY(),"",IFERROR(INDEX(Credit_KPIs_Tbl[Today Financing Amount],MATCH($A381,Credit_KPIs_Tbl[Date - التاريخ],0)),""))</f>
        <v/>
      </c>
      <c r="D381">
        <f>IF($A381&gt;TODAY(),"",IFERROR(INDEX(Credit_KPIs_Tbl[Total Number Contracts],MATCH($A381,Credit_KPIs_Tbl[Date - التاريخ],0)),""))</f>
        <v/>
      </c>
      <c r="E381">
        <f>IF($A381&gt;TODAY(),"",IFERROR(INDEX(Credit_KPIs_Tbl[Cancelled],MATCH($A381,Credit_KPIs_Tbl[Date - التاريخ],0)),""))</f>
        <v/>
      </c>
      <c r="F381">
        <f>IF($A381&gt;TODAY(),"",SUMIFS(Collection_Summary_Tbl[Amount - المبلغ],Collection_Summary_Tbl[Item - البند],"الاجمالي",Collection_Summary_Tbl[Date To - الى],$A381))</f>
        <v/>
      </c>
      <c r="G381">
        <f>IF($A381&gt;TODAY(),"",SUMIFS(Sales_Tbl[Count - العدد],Sales_Tbl[Date - التاريخ],$A381))</f>
        <v/>
      </c>
      <c r="H381">
        <f>IF($A381&gt;TODAY(),"",SUMIFS(Sales_Tbl[Count - العدد],Sales_Tbl[Status - الحالة],"Accepted - تم التنفيذ",Sales_Tbl[Date - التاريخ],$A381))</f>
        <v/>
      </c>
      <c r="I381">
        <f>IF($A381&gt;TODAY(),"",SUMIFS(Customer_Care_Tbl[Active - نشط],Customer_Care_Tbl[Date - التاريخ],$A381))</f>
        <v/>
      </c>
      <c r="J381">
        <f>IF($A381&gt;TODAY(),"",SUMIFS(Customer_Care_Tbl[Close - مغلق],Customer_Care_Tbl[Date - التاريخ],$A381))</f>
        <v/>
      </c>
    </row>
    <row r="382">
      <c r="A382">
        <f>A381+1</f>
        <v/>
      </c>
      <c r="B382">
        <f>IF($A382&gt;TODAY(),"",IFERROR(INDEX(Credit_KPIs_Tbl[Total Financing Amount],MATCH($A382,Credit_KPIs_Tbl[Date - التاريخ],0)),""))</f>
        <v/>
      </c>
      <c r="C382">
        <f>IF($A382&gt;TODAY(),"",IFERROR(INDEX(Credit_KPIs_Tbl[Today Financing Amount],MATCH($A382,Credit_KPIs_Tbl[Date - التاريخ],0)),""))</f>
        <v/>
      </c>
      <c r="D382">
        <f>IF($A382&gt;TODAY(),"",IFERROR(INDEX(Credit_KPIs_Tbl[Total Number Contracts],MATCH($A382,Credit_KPIs_Tbl[Date - التاريخ],0)),""))</f>
        <v/>
      </c>
      <c r="E382">
        <f>IF($A382&gt;TODAY(),"",IFERROR(INDEX(Credit_KPIs_Tbl[Cancelled],MATCH($A382,Credit_KPIs_Tbl[Date - التاريخ],0)),""))</f>
        <v/>
      </c>
      <c r="F382">
        <f>IF($A382&gt;TODAY(),"",SUMIFS(Collection_Summary_Tbl[Amount - المبلغ],Collection_Summary_Tbl[Item - البند],"الاجمالي",Collection_Summary_Tbl[Date To - الى],$A382))</f>
        <v/>
      </c>
      <c r="G382">
        <f>IF($A382&gt;TODAY(),"",SUMIFS(Sales_Tbl[Count - العدد],Sales_Tbl[Date - التاريخ],$A382))</f>
        <v/>
      </c>
      <c r="H382">
        <f>IF($A382&gt;TODAY(),"",SUMIFS(Sales_Tbl[Count - العدد],Sales_Tbl[Status - الحالة],"Accepted - تم التنفيذ",Sales_Tbl[Date - التاريخ],$A382))</f>
        <v/>
      </c>
      <c r="I382">
        <f>IF($A382&gt;TODAY(),"",SUMIFS(Customer_Care_Tbl[Active - نشط],Customer_Care_Tbl[Date - التاريخ],$A382))</f>
        <v/>
      </c>
      <c r="J382">
        <f>IF($A382&gt;TODAY(),"",SUMIFS(Customer_Care_Tbl[Close - مغلق],Customer_Care_Tbl[Date - التاريخ],$A382))</f>
        <v/>
      </c>
    </row>
    <row r="383">
      <c r="A383">
        <f>A382+1</f>
        <v/>
      </c>
      <c r="B383">
        <f>IF($A383&gt;TODAY(),"",IFERROR(INDEX(Credit_KPIs_Tbl[Total Financing Amount],MATCH($A383,Credit_KPIs_Tbl[Date - التاريخ],0)),""))</f>
        <v/>
      </c>
      <c r="C383">
        <f>IF($A383&gt;TODAY(),"",IFERROR(INDEX(Credit_KPIs_Tbl[Today Financing Amount],MATCH($A383,Credit_KPIs_Tbl[Date - التاريخ],0)),""))</f>
        <v/>
      </c>
      <c r="D383">
        <f>IF($A383&gt;TODAY(),"",IFERROR(INDEX(Credit_KPIs_Tbl[Total Number Contracts],MATCH($A383,Credit_KPIs_Tbl[Date - التاريخ],0)),""))</f>
        <v/>
      </c>
      <c r="E383">
        <f>IF($A383&gt;TODAY(),"",IFERROR(INDEX(Credit_KPIs_Tbl[Cancelled],MATCH($A383,Credit_KPIs_Tbl[Date - التاريخ],0)),""))</f>
        <v/>
      </c>
      <c r="F383">
        <f>IF($A383&gt;TODAY(),"",SUMIFS(Collection_Summary_Tbl[Amount - المبلغ],Collection_Summary_Tbl[Item - البند],"الاجمالي",Collection_Summary_Tbl[Date To - الى],$A383))</f>
        <v/>
      </c>
      <c r="G383">
        <f>IF($A383&gt;TODAY(),"",SUMIFS(Sales_Tbl[Count - العدد],Sales_Tbl[Date - التاريخ],$A383))</f>
        <v/>
      </c>
      <c r="H383">
        <f>IF($A383&gt;TODAY(),"",SUMIFS(Sales_Tbl[Count - العدد],Sales_Tbl[Status - الحالة],"Accepted - تم التنفيذ",Sales_Tbl[Date - التاريخ],$A383))</f>
        <v/>
      </c>
      <c r="I383">
        <f>IF($A383&gt;TODAY(),"",SUMIFS(Customer_Care_Tbl[Active - نشط],Customer_Care_Tbl[Date - التاريخ],$A383))</f>
        <v/>
      </c>
      <c r="J383">
        <f>IF($A383&gt;TODAY(),"",SUMIFS(Customer_Care_Tbl[Close - مغلق],Customer_Care_Tbl[Date - التاريخ],$A383))</f>
        <v/>
      </c>
    </row>
    <row r="384">
      <c r="A384">
        <f>A383+1</f>
        <v/>
      </c>
      <c r="B384">
        <f>IF($A384&gt;TODAY(),"",IFERROR(INDEX(Credit_KPIs_Tbl[Total Financing Amount],MATCH($A384,Credit_KPIs_Tbl[Date - التاريخ],0)),""))</f>
        <v/>
      </c>
      <c r="C384">
        <f>IF($A384&gt;TODAY(),"",IFERROR(INDEX(Credit_KPIs_Tbl[Today Financing Amount],MATCH($A384,Credit_KPIs_Tbl[Date - التاريخ],0)),""))</f>
        <v/>
      </c>
      <c r="D384">
        <f>IF($A384&gt;TODAY(),"",IFERROR(INDEX(Credit_KPIs_Tbl[Total Number Contracts],MATCH($A384,Credit_KPIs_Tbl[Date - التاريخ],0)),""))</f>
        <v/>
      </c>
      <c r="E384">
        <f>IF($A384&gt;TODAY(),"",IFERROR(INDEX(Credit_KPIs_Tbl[Cancelled],MATCH($A384,Credit_KPIs_Tbl[Date - التاريخ],0)),""))</f>
        <v/>
      </c>
      <c r="F384">
        <f>IF($A384&gt;TODAY(),"",SUMIFS(Collection_Summary_Tbl[Amount - المبلغ],Collection_Summary_Tbl[Item - البند],"الاجمالي",Collection_Summary_Tbl[Date To - الى],$A384))</f>
        <v/>
      </c>
      <c r="G384">
        <f>IF($A384&gt;TODAY(),"",SUMIFS(Sales_Tbl[Count - العدد],Sales_Tbl[Date - التاريخ],$A384))</f>
        <v/>
      </c>
      <c r="H384">
        <f>IF($A384&gt;TODAY(),"",SUMIFS(Sales_Tbl[Count - العدد],Sales_Tbl[Status - الحالة],"Accepted - تم التنفيذ",Sales_Tbl[Date - التاريخ],$A384))</f>
        <v/>
      </c>
      <c r="I384">
        <f>IF($A384&gt;TODAY(),"",SUMIFS(Customer_Care_Tbl[Active - نشط],Customer_Care_Tbl[Date - التاريخ],$A384))</f>
        <v/>
      </c>
      <c r="J384">
        <f>IF($A384&gt;TODAY(),"",SUMIFS(Customer_Care_Tbl[Close - مغلق],Customer_Care_Tbl[Date - التاريخ],$A384))</f>
        <v/>
      </c>
    </row>
    <row r="385">
      <c r="A385">
        <f>A384+1</f>
        <v/>
      </c>
      <c r="B385">
        <f>IF($A385&gt;TODAY(),"",IFERROR(INDEX(Credit_KPIs_Tbl[Total Financing Amount],MATCH($A385,Credit_KPIs_Tbl[Date - التاريخ],0)),""))</f>
        <v/>
      </c>
      <c r="C385">
        <f>IF($A385&gt;TODAY(),"",IFERROR(INDEX(Credit_KPIs_Tbl[Today Financing Amount],MATCH($A385,Credit_KPIs_Tbl[Date - التاريخ],0)),""))</f>
        <v/>
      </c>
      <c r="D385">
        <f>IF($A385&gt;TODAY(),"",IFERROR(INDEX(Credit_KPIs_Tbl[Total Number Contracts],MATCH($A385,Credit_KPIs_Tbl[Date - التاريخ],0)),""))</f>
        <v/>
      </c>
      <c r="E385">
        <f>IF($A385&gt;TODAY(),"",IFERROR(INDEX(Credit_KPIs_Tbl[Cancelled],MATCH($A385,Credit_KPIs_Tbl[Date - التاريخ],0)),""))</f>
        <v/>
      </c>
      <c r="F385">
        <f>IF($A385&gt;TODAY(),"",SUMIFS(Collection_Summary_Tbl[Amount - المبلغ],Collection_Summary_Tbl[Item - البند],"الاجمالي",Collection_Summary_Tbl[Date To - الى],$A385))</f>
        <v/>
      </c>
      <c r="G385">
        <f>IF($A385&gt;TODAY(),"",SUMIFS(Sales_Tbl[Count - العدد],Sales_Tbl[Date - التاريخ],$A385))</f>
        <v/>
      </c>
      <c r="H385">
        <f>IF($A385&gt;TODAY(),"",SUMIFS(Sales_Tbl[Count - العدد],Sales_Tbl[Status - الحالة],"Accepted - تم التنفيذ",Sales_Tbl[Date - التاريخ],$A385))</f>
        <v/>
      </c>
      <c r="I385">
        <f>IF($A385&gt;TODAY(),"",SUMIFS(Customer_Care_Tbl[Active - نشط],Customer_Care_Tbl[Date - التاريخ],$A385))</f>
        <v/>
      </c>
      <c r="J385">
        <f>IF($A385&gt;TODAY(),"",SUMIFS(Customer_Care_Tbl[Close - مغلق],Customer_Care_Tbl[Date - التاريخ],$A385))</f>
        <v/>
      </c>
    </row>
    <row r="386">
      <c r="A386">
        <f>A385+1</f>
        <v/>
      </c>
      <c r="B386">
        <f>IF($A386&gt;TODAY(),"",IFERROR(INDEX(Credit_KPIs_Tbl[Total Financing Amount],MATCH($A386,Credit_KPIs_Tbl[Date - التاريخ],0)),""))</f>
        <v/>
      </c>
      <c r="C386">
        <f>IF($A386&gt;TODAY(),"",IFERROR(INDEX(Credit_KPIs_Tbl[Today Financing Amount],MATCH($A386,Credit_KPIs_Tbl[Date - التاريخ],0)),""))</f>
        <v/>
      </c>
      <c r="D386">
        <f>IF($A386&gt;TODAY(),"",IFERROR(INDEX(Credit_KPIs_Tbl[Total Number Contracts],MATCH($A386,Credit_KPIs_Tbl[Date - التاريخ],0)),""))</f>
        <v/>
      </c>
      <c r="E386">
        <f>IF($A386&gt;TODAY(),"",IFERROR(INDEX(Credit_KPIs_Tbl[Cancelled],MATCH($A386,Credit_KPIs_Tbl[Date - التاريخ],0)),""))</f>
        <v/>
      </c>
      <c r="F386">
        <f>IF($A386&gt;TODAY(),"",SUMIFS(Collection_Summary_Tbl[Amount - المبلغ],Collection_Summary_Tbl[Item - البند],"الاجمالي",Collection_Summary_Tbl[Date To - الى],$A386))</f>
        <v/>
      </c>
      <c r="G386">
        <f>IF($A386&gt;TODAY(),"",SUMIFS(Sales_Tbl[Count - العدد],Sales_Tbl[Date - التاريخ],$A386))</f>
        <v/>
      </c>
      <c r="H386">
        <f>IF($A386&gt;TODAY(),"",SUMIFS(Sales_Tbl[Count - العدد],Sales_Tbl[Status - الحالة],"Accepted - تم التنفيذ",Sales_Tbl[Date - التاريخ],$A386))</f>
        <v/>
      </c>
      <c r="I386">
        <f>IF($A386&gt;TODAY(),"",SUMIFS(Customer_Care_Tbl[Active - نشط],Customer_Care_Tbl[Date - التاريخ],$A386))</f>
        <v/>
      </c>
      <c r="J386">
        <f>IF($A386&gt;TODAY(),"",SUMIFS(Customer_Care_Tbl[Close - مغلق],Customer_Care_Tbl[Date - التاريخ],$A386))</f>
        <v/>
      </c>
    </row>
    <row r="387">
      <c r="A387">
        <f>A386+1</f>
        <v/>
      </c>
      <c r="B387">
        <f>IF($A387&gt;TODAY(),"",IFERROR(INDEX(Credit_KPIs_Tbl[Total Financing Amount],MATCH($A387,Credit_KPIs_Tbl[Date - التاريخ],0)),""))</f>
        <v/>
      </c>
      <c r="C387">
        <f>IF($A387&gt;TODAY(),"",IFERROR(INDEX(Credit_KPIs_Tbl[Today Financing Amount],MATCH($A387,Credit_KPIs_Tbl[Date - التاريخ],0)),""))</f>
        <v/>
      </c>
      <c r="D387">
        <f>IF($A387&gt;TODAY(),"",IFERROR(INDEX(Credit_KPIs_Tbl[Total Number Contracts],MATCH($A387,Credit_KPIs_Tbl[Date - التاريخ],0)),""))</f>
        <v/>
      </c>
      <c r="E387">
        <f>IF($A387&gt;TODAY(),"",IFERROR(INDEX(Credit_KPIs_Tbl[Cancelled],MATCH($A387,Credit_KPIs_Tbl[Date - التاريخ],0)),""))</f>
        <v/>
      </c>
      <c r="F387">
        <f>IF($A387&gt;TODAY(),"",SUMIFS(Collection_Summary_Tbl[Amount - المبلغ],Collection_Summary_Tbl[Item - البند],"الاجمالي",Collection_Summary_Tbl[Date To - الى],$A387))</f>
        <v/>
      </c>
      <c r="G387">
        <f>IF($A387&gt;TODAY(),"",SUMIFS(Sales_Tbl[Count - العدد],Sales_Tbl[Date - التاريخ],$A387))</f>
        <v/>
      </c>
      <c r="H387">
        <f>IF($A387&gt;TODAY(),"",SUMIFS(Sales_Tbl[Count - العدد],Sales_Tbl[Status - الحالة],"Accepted - تم التنفيذ",Sales_Tbl[Date - التاريخ],$A387))</f>
        <v/>
      </c>
      <c r="I387">
        <f>IF($A387&gt;TODAY(),"",SUMIFS(Customer_Care_Tbl[Active - نشط],Customer_Care_Tbl[Date - التاريخ],$A387))</f>
        <v/>
      </c>
      <c r="J387">
        <f>IF($A387&gt;TODAY(),"",SUMIFS(Customer_Care_Tbl[Close - مغلق],Customer_Care_Tbl[Date - التاريخ],$A387))</f>
        <v/>
      </c>
    </row>
    <row r="388">
      <c r="A388">
        <f>A387+1</f>
        <v/>
      </c>
      <c r="B388">
        <f>IF($A388&gt;TODAY(),"",IFERROR(INDEX(Credit_KPIs_Tbl[Total Financing Amount],MATCH($A388,Credit_KPIs_Tbl[Date - التاريخ],0)),""))</f>
        <v/>
      </c>
      <c r="C388">
        <f>IF($A388&gt;TODAY(),"",IFERROR(INDEX(Credit_KPIs_Tbl[Today Financing Amount],MATCH($A388,Credit_KPIs_Tbl[Date - التاريخ],0)),""))</f>
        <v/>
      </c>
      <c r="D388">
        <f>IF($A388&gt;TODAY(),"",IFERROR(INDEX(Credit_KPIs_Tbl[Total Number Contracts],MATCH($A388,Credit_KPIs_Tbl[Date - التاريخ],0)),""))</f>
        <v/>
      </c>
      <c r="E388">
        <f>IF($A388&gt;TODAY(),"",IFERROR(INDEX(Credit_KPIs_Tbl[Cancelled],MATCH($A388,Credit_KPIs_Tbl[Date - التاريخ],0)),""))</f>
        <v/>
      </c>
      <c r="F388">
        <f>IF($A388&gt;TODAY(),"",SUMIFS(Collection_Summary_Tbl[Amount - المبلغ],Collection_Summary_Tbl[Item - البند],"الاجمالي",Collection_Summary_Tbl[Date To - الى],$A388))</f>
        <v/>
      </c>
      <c r="G388">
        <f>IF($A388&gt;TODAY(),"",SUMIFS(Sales_Tbl[Count - العدد],Sales_Tbl[Date - التاريخ],$A388))</f>
        <v/>
      </c>
      <c r="H388">
        <f>IF($A388&gt;TODAY(),"",SUMIFS(Sales_Tbl[Count - العدد],Sales_Tbl[Status - الحالة],"Accepted - تم التنفيذ",Sales_Tbl[Date - التاريخ],$A388))</f>
        <v/>
      </c>
      <c r="I388">
        <f>IF($A388&gt;TODAY(),"",SUMIFS(Customer_Care_Tbl[Active - نشط],Customer_Care_Tbl[Date - التاريخ],$A388))</f>
        <v/>
      </c>
      <c r="J388">
        <f>IF($A388&gt;TODAY(),"",SUMIFS(Customer_Care_Tbl[Close - مغلق],Customer_Care_Tbl[Date - التاريخ],$A388))</f>
        <v/>
      </c>
    </row>
    <row r="389">
      <c r="A389">
        <f>A388+1</f>
        <v/>
      </c>
      <c r="B389">
        <f>IF($A389&gt;TODAY(),"",IFERROR(INDEX(Credit_KPIs_Tbl[Total Financing Amount],MATCH($A389,Credit_KPIs_Tbl[Date - التاريخ],0)),""))</f>
        <v/>
      </c>
      <c r="C389">
        <f>IF($A389&gt;TODAY(),"",IFERROR(INDEX(Credit_KPIs_Tbl[Today Financing Amount],MATCH($A389,Credit_KPIs_Tbl[Date - التاريخ],0)),""))</f>
        <v/>
      </c>
      <c r="D389">
        <f>IF($A389&gt;TODAY(),"",IFERROR(INDEX(Credit_KPIs_Tbl[Total Number Contracts],MATCH($A389,Credit_KPIs_Tbl[Date - التاريخ],0)),""))</f>
        <v/>
      </c>
      <c r="E389">
        <f>IF($A389&gt;TODAY(),"",IFERROR(INDEX(Credit_KPIs_Tbl[Cancelled],MATCH($A389,Credit_KPIs_Tbl[Date - التاريخ],0)),""))</f>
        <v/>
      </c>
      <c r="F389">
        <f>IF($A389&gt;TODAY(),"",SUMIFS(Collection_Summary_Tbl[Amount - المبلغ],Collection_Summary_Tbl[Item - البند],"الاجمالي",Collection_Summary_Tbl[Date To - الى],$A389))</f>
        <v/>
      </c>
      <c r="G389">
        <f>IF($A389&gt;TODAY(),"",SUMIFS(Sales_Tbl[Count - العدد],Sales_Tbl[Date - التاريخ],$A389))</f>
        <v/>
      </c>
      <c r="H389">
        <f>IF($A389&gt;TODAY(),"",SUMIFS(Sales_Tbl[Count - العدد],Sales_Tbl[Status - الحالة],"Accepted - تم التنفيذ",Sales_Tbl[Date - التاريخ],$A389))</f>
        <v/>
      </c>
      <c r="I389">
        <f>IF($A389&gt;TODAY(),"",SUMIFS(Customer_Care_Tbl[Active - نشط],Customer_Care_Tbl[Date - التاريخ],$A389))</f>
        <v/>
      </c>
      <c r="J389">
        <f>IF($A389&gt;TODAY(),"",SUMIFS(Customer_Care_Tbl[Close - مغلق],Customer_Care_Tbl[Date - التاريخ],$A389))</f>
        <v/>
      </c>
    </row>
    <row r="390">
      <c r="A390">
        <f>A389+1</f>
        <v/>
      </c>
      <c r="B390">
        <f>IF($A390&gt;TODAY(),"",IFERROR(INDEX(Credit_KPIs_Tbl[Total Financing Amount],MATCH($A390,Credit_KPIs_Tbl[Date - التاريخ],0)),""))</f>
        <v/>
      </c>
      <c r="C390">
        <f>IF($A390&gt;TODAY(),"",IFERROR(INDEX(Credit_KPIs_Tbl[Today Financing Amount],MATCH($A390,Credit_KPIs_Tbl[Date - التاريخ],0)),""))</f>
        <v/>
      </c>
      <c r="D390">
        <f>IF($A390&gt;TODAY(),"",IFERROR(INDEX(Credit_KPIs_Tbl[Total Number Contracts],MATCH($A390,Credit_KPIs_Tbl[Date - التاريخ],0)),""))</f>
        <v/>
      </c>
      <c r="E390">
        <f>IF($A390&gt;TODAY(),"",IFERROR(INDEX(Credit_KPIs_Tbl[Cancelled],MATCH($A390,Credit_KPIs_Tbl[Date - التاريخ],0)),""))</f>
        <v/>
      </c>
      <c r="F390">
        <f>IF($A390&gt;TODAY(),"",SUMIFS(Collection_Summary_Tbl[Amount - المبلغ],Collection_Summary_Tbl[Item - البند],"الاجمالي",Collection_Summary_Tbl[Date To - الى],$A390))</f>
        <v/>
      </c>
      <c r="G390">
        <f>IF($A390&gt;TODAY(),"",SUMIFS(Sales_Tbl[Count - العدد],Sales_Tbl[Date - التاريخ],$A390))</f>
        <v/>
      </c>
      <c r="H390">
        <f>IF($A390&gt;TODAY(),"",SUMIFS(Sales_Tbl[Count - العدد],Sales_Tbl[Status - الحالة],"Accepted - تم التنفيذ",Sales_Tbl[Date - التاريخ],$A390))</f>
        <v/>
      </c>
      <c r="I390">
        <f>IF($A390&gt;TODAY(),"",SUMIFS(Customer_Care_Tbl[Active - نشط],Customer_Care_Tbl[Date - التاريخ],$A390))</f>
        <v/>
      </c>
      <c r="J390">
        <f>IF($A390&gt;TODAY(),"",SUMIFS(Customer_Care_Tbl[Close - مغلق],Customer_Care_Tbl[Date - التاريخ],$A390))</f>
        <v/>
      </c>
    </row>
    <row r="391">
      <c r="A391">
        <f>A390+1</f>
        <v/>
      </c>
      <c r="B391">
        <f>IF($A391&gt;TODAY(),"",IFERROR(INDEX(Credit_KPIs_Tbl[Total Financing Amount],MATCH($A391,Credit_KPIs_Tbl[Date - التاريخ],0)),""))</f>
        <v/>
      </c>
      <c r="C391">
        <f>IF($A391&gt;TODAY(),"",IFERROR(INDEX(Credit_KPIs_Tbl[Today Financing Amount],MATCH($A391,Credit_KPIs_Tbl[Date - التاريخ],0)),""))</f>
        <v/>
      </c>
      <c r="D391">
        <f>IF($A391&gt;TODAY(),"",IFERROR(INDEX(Credit_KPIs_Tbl[Total Number Contracts],MATCH($A391,Credit_KPIs_Tbl[Date - التاريخ],0)),""))</f>
        <v/>
      </c>
      <c r="E391">
        <f>IF($A391&gt;TODAY(),"",IFERROR(INDEX(Credit_KPIs_Tbl[Cancelled],MATCH($A391,Credit_KPIs_Tbl[Date - التاريخ],0)),""))</f>
        <v/>
      </c>
      <c r="F391">
        <f>IF($A391&gt;TODAY(),"",SUMIFS(Collection_Summary_Tbl[Amount - المبلغ],Collection_Summary_Tbl[Item - البند],"الاجمالي",Collection_Summary_Tbl[Date To - الى],$A391))</f>
        <v/>
      </c>
      <c r="G391">
        <f>IF($A391&gt;TODAY(),"",SUMIFS(Sales_Tbl[Count - العدد],Sales_Tbl[Date - التاريخ],$A391))</f>
        <v/>
      </c>
      <c r="H391">
        <f>IF($A391&gt;TODAY(),"",SUMIFS(Sales_Tbl[Count - العدد],Sales_Tbl[Status - الحالة],"Accepted - تم التنفيذ",Sales_Tbl[Date - التاريخ],$A391))</f>
        <v/>
      </c>
      <c r="I391">
        <f>IF($A391&gt;TODAY(),"",SUMIFS(Customer_Care_Tbl[Active - نشط],Customer_Care_Tbl[Date - التاريخ],$A391))</f>
        <v/>
      </c>
      <c r="J391">
        <f>IF($A391&gt;TODAY(),"",SUMIFS(Customer_Care_Tbl[Close - مغلق],Customer_Care_Tbl[Date - التاريخ],$A391))</f>
        <v/>
      </c>
    </row>
    <row r="392">
      <c r="A392">
        <f>A391+1</f>
        <v/>
      </c>
      <c r="B392">
        <f>IF($A392&gt;TODAY(),"",IFERROR(INDEX(Credit_KPIs_Tbl[Total Financing Amount],MATCH($A392,Credit_KPIs_Tbl[Date - التاريخ],0)),""))</f>
        <v/>
      </c>
      <c r="C392">
        <f>IF($A392&gt;TODAY(),"",IFERROR(INDEX(Credit_KPIs_Tbl[Today Financing Amount],MATCH($A392,Credit_KPIs_Tbl[Date - التاريخ],0)),""))</f>
        <v/>
      </c>
      <c r="D392">
        <f>IF($A392&gt;TODAY(),"",IFERROR(INDEX(Credit_KPIs_Tbl[Total Number Contracts],MATCH($A392,Credit_KPIs_Tbl[Date - التاريخ],0)),""))</f>
        <v/>
      </c>
      <c r="E392">
        <f>IF($A392&gt;TODAY(),"",IFERROR(INDEX(Credit_KPIs_Tbl[Cancelled],MATCH($A392,Credit_KPIs_Tbl[Date - التاريخ],0)),""))</f>
        <v/>
      </c>
      <c r="F392">
        <f>IF($A392&gt;TODAY(),"",SUMIFS(Collection_Summary_Tbl[Amount - المبلغ],Collection_Summary_Tbl[Item - البند],"الاجمالي",Collection_Summary_Tbl[Date To - الى],$A392))</f>
        <v/>
      </c>
      <c r="G392">
        <f>IF($A392&gt;TODAY(),"",SUMIFS(Sales_Tbl[Count - العدد],Sales_Tbl[Date - التاريخ],$A392))</f>
        <v/>
      </c>
      <c r="H392">
        <f>IF($A392&gt;TODAY(),"",SUMIFS(Sales_Tbl[Count - العدد],Sales_Tbl[Status - الحالة],"Accepted - تم التنفيذ",Sales_Tbl[Date - التاريخ],$A392))</f>
        <v/>
      </c>
      <c r="I392">
        <f>IF($A392&gt;TODAY(),"",SUMIFS(Customer_Care_Tbl[Active - نشط],Customer_Care_Tbl[Date - التاريخ],$A392))</f>
        <v/>
      </c>
      <c r="J392">
        <f>IF($A392&gt;TODAY(),"",SUMIFS(Customer_Care_Tbl[Close - مغلق],Customer_Care_Tbl[Date - التاريخ],$A392))</f>
        <v/>
      </c>
    </row>
    <row r="393">
      <c r="A393">
        <f>A392+1</f>
        <v/>
      </c>
      <c r="B393">
        <f>IF($A393&gt;TODAY(),"",IFERROR(INDEX(Credit_KPIs_Tbl[Total Financing Amount],MATCH($A393,Credit_KPIs_Tbl[Date - التاريخ],0)),""))</f>
        <v/>
      </c>
      <c r="C393">
        <f>IF($A393&gt;TODAY(),"",IFERROR(INDEX(Credit_KPIs_Tbl[Today Financing Amount],MATCH($A393,Credit_KPIs_Tbl[Date - التاريخ],0)),""))</f>
        <v/>
      </c>
      <c r="D393">
        <f>IF($A393&gt;TODAY(),"",IFERROR(INDEX(Credit_KPIs_Tbl[Total Number Contracts],MATCH($A393,Credit_KPIs_Tbl[Date - التاريخ],0)),""))</f>
        <v/>
      </c>
      <c r="E393">
        <f>IF($A393&gt;TODAY(),"",IFERROR(INDEX(Credit_KPIs_Tbl[Cancelled],MATCH($A393,Credit_KPIs_Tbl[Date - التاريخ],0)),""))</f>
        <v/>
      </c>
      <c r="F393">
        <f>IF($A393&gt;TODAY(),"",SUMIFS(Collection_Summary_Tbl[Amount - المبلغ],Collection_Summary_Tbl[Item - البند],"الاجمالي",Collection_Summary_Tbl[Date To - الى],$A393))</f>
        <v/>
      </c>
      <c r="G393">
        <f>IF($A393&gt;TODAY(),"",SUMIFS(Sales_Tbl[Count - العدد],Sales_Tbl[Date - التاريخ],$A393))</f>
        <v/>
      </c>
      <c r="H393">
        <f>IF($A393&gt;TODAY(),"",SUMIFS(Sales_Tbl[Count - العدد],Sales_Tbl[Status - الحالة],"Accepted - تم التنفيذ",Sales_Tbl[Date - التاريخ],$A393))</f>
        <v/>
      </c>
      <c r="I393">
        <f>IF($A393&gt;TODAY(),"",SUMIFS(Customer_Care_Tbl[Active - نشط],Customer_Care_Tbl[Date - التاريخ],$A393))</f>
        <v/>
      </c>
      <c r="J393">
        <f>IF($A393&gt;TODAY(),"",SUMIFS(Customer_Care_Tbl[Close - مغلق],Customer_Care_Tbl[Date - التاريخ],$A393))</f>
        <v/>
      </c>
    </row>
    <row r="394">
      <c r="A394">
        <f>A393+1</f>
        <v/>
      </c>
      <c r="B394">
        <f>IF($A394&gt;TODAY(),"",IFERROR(INDEX(Credit_KPIs_Tbl[Total Financing Amount],MATCH($A394,Credit_KPIs_Tbl[Date - التاريخ],0)),""))</f>
        <v/>
      </c>
      <c r="C394">
        <f>IF($A394&gt;TODAY(),"",IFERROR(INDEX(Credit_KPIs_Tbl[Today Financing Amount],MATCH($A394,Credit_KPIs_Tbl[Date - التاريخ],0)),""))</f>
        <v/>
      </c>
      <c r="D394">
        <f>IF($A394&gt;TODAY(),"",IFERROR(INDEX(Credit_KPIs_Tbl[Total Number Contracts],MATCH($A394,Credit_KPIs_Tbl[Date - التاريخ],0)),""))</f>
        <v/>
      </c>
      <c r="E394">
        <f>IF($A394&gt;TODAY(),"",IFERROR(INDEX(Credit_KPIs_Tbl[Cancelled],MATCH($A394,Credit_KPIs_Tbl[Date - التاريخ],0)),""))</f>
        <v/>
      </c>
      <c r="F394">
        <f>IF($A394&gt;TODAY(),"",SUMIFS(Collection_Summary_Tbl[Amount - المبلغ],Collection_Summary_Tbl[Item - البند],"الاجمالي",Collection_Summary_Tbl[Date To - الى],$A394))</f>
        <v/>
      </c>
      <c r="G394">
        <f>IF($A394&gt;TODAY(),"",SUMIFS(Sales_Tbl[Count - العدد],Sales_Tbl[Date - التاريخ],$A394))</f>
        <v/>
      </c>
      <c r="H394">
        <f>IF($A394&gt;TODAY(),"",SUMIFS(Sales_Tbl[Count - العدد],Sales_Tbl[Status - الحالة],"Accepted - تم التنفيذ",Sales_Tbl[Date - التاريخ],$A394))</f>
        <v/>
      </c>
      <c r="I394">
        <f>IF($A394&gt;TODAY(),"",SUMIFS(Customer_Care_Tbl[Active - نشط],Customer_Care_Tbl[Date - التاريخ],$A394))</f>
        <v/>
      </c>
      <c r="J394">
        <f>IF($A394&gt;TODAY(),"",SUMIFS(Customer_Care_Tbl[Close - مغلق],Customer_Care_Tbl[Date - التاريخ],$A394))</f>
        <v/>
      </c>
    </row>
    <row r="395">
      <c r="A395">
        <f>A394+1</f>
        <v/>
      </c>
      <c r="B395">
        <f>IF($A395&gt;TODAY(),"",IFERROR(INDEX(Credit_KPIs_Tbl[Total Financing Amount],MATCH($A395,Credit_KPIs_Tbl[Date - التاريخ],0)),""))</f>
        <v/>
      </c>
      <c r="C395">
        <f>IF($A395&gt;TODAY(),"",IFERROR(INDEX(Credit_KPIs_Tbl[Today Financing Amount],MATCH($A395,Credit_KPIs_Tbl[Date - التاريخ],0)),""))</f>
        <v/>
      </c>
      <c r="D395">
        <f>IF($A395&gt;TODAY(),"",IFERROR(INDEX(Credit_KPIs_Tbl[Total Number Contracts],MATCH($A395,Credit_KPIs_Tbl[Date - التاريخ],0)),""))</f>
        <v/>
      </c>
      <c r="E395">
        <f>IF($A395&gt;TODAY(),"",IFERROR(INDEX(Credit_KPIs_Tbl[Cancelled],MATCH($A395,Credit_KPIs_Tbl[Date - التاريخ],0)),""))</f>
        <v/>
      </c>
      <c r="F395">
        <f>IF($A395&gt;TODAY(),"",SUMIFS(Collection_Summary_Tbl[Amount - المبلغ],Collection_Summary_Tbl[Item - البند],"الاجمالي",Collection_Summary_Tbl[Date To - الى],$A395))</f>
        <v/>
      </c>
      <c r="G395">
        <f>IF($A395&gt;TODAY(),"",SUMIFS(Sales_Tbl[Count - العدد],Sales_Tbl[Date - التاريخ],$A395))</f>
        <v/>
      </c>
      <c r="H395">
        <f>IF($A395&gt;TODAY(),"",SUMIFS(Sales_Tbl[Count - العدد],Sales_Tbl[Status - الحالة],"Accepted - تم التنفيذ",Sales_Tbl[Date - التاريخ],$A395))</f>
        <v/>
      </c>
      <c r="I395">
        <f>IF($A395&gt;TODAY(),"",SUMIFS(Customer_Care_Tbl[Active - نشط],Customer_Care_Tbl[Date - التاريخ],$A395))</f>
        <v/>
      </c>
      <c r="J395">
        <f>IF($A395&gt;TODAY(),"",SUMIFS(Customer_Care_Tbl[Close - مغلق],Customer_Care_Tbl[Date - التاريخ],$A395))</f>
        <v/>
      </c>
    </row>
    <row r="396">
      <c r="A396">
        <f>A395+1</f>
        <v/>
      </c>
      <c r="B396">
        <f>IF($A396&gt;TODAY(),"",IFERROR(INDEX(Credit_KPIs_Tbl[Total Financing Amount],MATCH($A396,Credit_KPIs_Tbl[Date - التاريخ],0)),""))</f>
        <v/>
      </c>
      <c r="C396">
        <f>IF($A396&gt;TODAY(),"",IFERROR(INDEX(Credit_KPIs_Tbl[Today Financing Amount],MATCH($A396,Credit_KPIs_Tbl[Date - التاريخ],0)),""))</f>
        <v/>
      </c>
      <c r="D396">
        <f>IF($A396&gt;TODAY(),"",IFERROR(INDEX(Credit_KPIs_Tbl[Total Number Contracts],MATCH($A396,Credit_KPIs_Tbl[Date - التاريخ],0)),""))</f>
        <v/>
      </c>
      <c r="E396">
        <f>IF($A396&gt;TODAY(),"",IFERROR(INDEX(Credit_KPIs_Tbl[Cancelled],MATCH($A396,Credit_KPIs_Tbl[Date - التاريخ],0)),""))</f>
        <v/>
      </c>
      <c r="F396">
        <f>IF($A396&gt;TODAY(),"",SUMIFS(Collection_Summary_Tbl[Amount - المبلغ],Collection_Summary_Tbl[Item - البند],"الاجمالي",Collection_Summary_Tbl[Date To - الى],$A396))</f>
        <v/>
      </c>
      <c r="G396">
        <f>IF($A396&gt;TODAY(),"",SUMIFS(Sales_Tbl[Count - العدد],Sales_Tbl[Date - التاريخ],$A396))</f>
        <v/>
      </c>
      <c r="H396">
        <f>IF($A396&gt;TODAY(),"",SUMIFS(Sales_Tbl[Count - العدد],Sales_Tbl[Status - الحالة],"Accepted - تم التنفيذ",Sales_Tbl[Date - التاريخ],$A396))</f>
        <v/>
      </c>
      <c r="I396">
        <f>IF($A396&gt;TODAY(),"",SUMIFS(Customer_Care_Tbl[Active - نشط],Customer_Care_Tbl[Date - التاريخ],$A396))</f>
        <v/>
      </c>
      <c r="J396">
        <f>IF($A396&gt;TODAY(),"",SUMIFS(Customer_Care_Tbl[Close - مغلق],Customer_Care_Tbl[Date - التاريخ],$A396))</f>
        <v/>
      </c>
    </row>
    <row r="397">
      <c r="A397">
        <f>A396+1</f>
        <v/>
      </c>
      <c r="B397">
        <f>IF($A397&gt;TODAY(),"",IFERROR(INDEX(Credit_KPIs_Tbl[Total Financing Amount],MATCH($A397,Credit_KPIs_Tbl[Date - التاريخ],0)),""))</f>
        <v/>
      </c>
      <c r="C397">
        <f>IF($A397&gt;TODAY(),"",IFERROR(INDEX(Credit_KPIs_Tbl[Today Financing Amount],MATCH($A397,Credit_KPIs_Tbl[Date - التاريخ],0)),""))</f>
        <v/>
      </c>
      <c r="D397">
        <f>IF($A397&gt;TODAY(),"",IFERROR(INDEX(Credit_KPIs_Tbl[Total Number Contracts],MATCH($A397,Credit_KPIs_Tbl[Date - التاريخ],0)),""))</f>
        <v/>
      </c>
      <c r="E397">
        <f>IF($A397&gt;TODAY(),"",IFERROR(INDEX(Credit_KPIs_Tbl[Cancelled],MATCH($A397,Credit_KPIs_Tbl[Date - التاريخ],0)),""))</f>
        <v/>
      </c>
      <c r="F397">
        <f>IF($A397&gt;TODAY(),"",SUMIFS(Collection_Summary_Tbl[Amount - المبلغ],Collection_Summary_Tbl[Item - البند],"الاجمالي",Collection_Summary_Tbl[Date To - الى],$A397))</f>
        <v/>
      </c>
      <c r="G397">
        <f>IF($A397&gt;TODAY(),"",SUMIFS(Sales_Tbl[Count - العدد],Sales_Tbl[Date - التاريخ],$A397))</f>
        <v/>
      </c>
      <c r="H397">
        <f>IF($A397&gt;TODAY(),"",SUMIFS(Sales_Tbl[Count - العدد],Sales_Tbl[Status - الحالة],"Accepted - تم التنفيذ",Sales_Tbl[Date - التاريخ],$A397))</f>
        <v/>
      </c>
      <c r="I397">
        <f>IF($A397&gt;TODAY(),"",SUMIFS(Customer_Care_Tbl[Active - نشط],Customer_Care_Tbl[Date - التاريخ],$A397))</f>
        <v/>
      </c>
      <c r="J397">
        <f>IF($A397&gt;TODAY(),"",SUMIFS(Customer_Care_Tbl[Close - مغلق],Customer_Care_Tbl[Date - التاريخ],$A397))</f>
        <v/>
      </c>
    </row>
    <row r="398">
      <c r="A398">
        <f>A397+1</f>
        <v/>
      </c>
      <c r="B398">
        <f>IF($A398&gt;TODAY(),"",IFERROR(INDEX(Credit_KPIs_Tbl[Total Financing Amount],MATCH($A398,Credit_KPIs_Tbl[Date - التاريخ],0)),""))</f>
        <v/>
      </c>
      <c r="C398">
        <f>IF($A398&gt;TODAY(),"",IFERROR(INDEX(Credit_KPIs_Tbl[Today Financing Amount],MATCH($A398,Credit_KPIs_Tbl[Date - التاريخ],0)),""))</f>
        <v/>
      </c>
      <c r="D398">
        <f>IF($A398&gt;TODAY(),"",IFERROR(INDEX(Credit_KPIs_Tbl[Total Number Contracts],MATCH($A398,Credit_KPIs_Tbl[Date - التاريخ],0)),""))</f>
        <v/>
      </c>
      <c r="E398">
        <f>IF($A398&gt;TODAY(),"",IFERROR(INDEX(Credit_KPIs_Tbl[Cancelled],MATCH($A398,Credit_KPIs_Tbl[Date - التاريخ],0)),""))</f>
        <v/>
      </c>
      <c r="F398">
        <f>IF($A398&gt;TODAY(),"",SUMIFS(Collection_Summary_Tbl[Amount - المبلغ],Collection_Summary_Tbl[Item - البند],"الاجمالي",Collection_Summary_Tbl[Date To - الى],$A398))</f>
        <v/>
      </c>
      <c r="G398">
        <f>IF($A398&gt;TODAY(),"",SUMIFS(Sales_Tbl[Count - العدد],Sales_Tbl[Date - التاريخ],$A398))</f>
        <v/>
      </c>
      <c r="H398">
        <f>IF($A398&gt;TODAY(),"",SUMIFS(Sales_Tbl[Count - العدد],Sales_Tbl[Status - الحالة],"Accepted - تم التنفيذ",Sales_Tbl[Date - التاريخ],$A398))</f>
        <v/>
      </c>
      <c r="I398">
        <f>IF($A398&gt;TODAY(),"",SUMIFS(Customer_Care_Tbl[Active - نشط],Customer_Care_Tbl[Date - التاريخ],$A398))</f>
        <v/>
      </c>
      <c r="J398">
        <f>IF($A398&gt;TODAY(),"",SUMIFS(Customer_Care_Tbl[Close - مغلق],Customer_Care_Tbl[Date - التاريخ],$A398))</f>
        <v/>
      </c>
    </row>
    <row r="399">
      <c r="A399">
        <f>A398+1</f>
        <v/>
      </c>
      <c r="B399">
        <f>IF($A399&gt;TODAY(),"",IFERROR(INDEX(Credit_KPIs_Tbl[Total Financing Amount],MATCH($A399,Credit_KPIs_Tbl[Date - التاريخ],0)),""))</f>
        <v/>
      </c>
      <c r="C399">
        <f>IF($A399&gt;TODAY(),"",IFERROR(INDEX(Credit_KPIs_Tbl[Today Financing Amount],MATCH($A399,Credit_KPIs_Tbl[Date - التاريخ],0)),""))</f>
        <v/>
      </c>
      <c r="D399">
        <f>IF($A399&gt;TODAY(),"",IFERROR(INDEX(Credit_KPIs_Tbl[Total Number Contracts],MATCH($A399,Credit_KPIs_Tbl[Date - التاريخ],0)),""))</f>
        <v/>
      </c>
      <c r="E399">
        <f>IF($A399&gt;TODAY(),"",IFERROR(INDEX(Credit_KPIs_Tbl[Cancelled],MATCH($A399,Credit_KPIs_Tbl[Date - التاريخ],0)),""))</f>
        <v/>
      </c>
      <c r="F399">
        <f>IF($A399&gt;TODAY(),"",SUMIFS(Collection_Summary_Tbl[Amount - المبلغ],Collection_Summary_Tbl[Item - البند],"الاجمالي",Collection_Summary_Tbl[Date To - الى],$A399))</f>
        <v/>
      </c>
      <c r="G399">
        <f>IF($A399&gt;TODAY(),"",SUMIFS(Sales_Tbl[Count - العدد],Sales_Tbl[Date - التاريخ],$A399))</f>
        <v/>
      </c>
      <c r="H399">
        <f>IF($A399&gt;TODAY(),"",SUMIFS(Sales_Tbl[Count - العدد],Sales_Tbl[Status - الحالة],"Accepted - تم التنفيذ",Sales_Tbl[Date - التاريخ],$A399))</f>
        <v/>
      </c>
      <c r="I399">
        <f>IF($A399&gt;TODAY(),"",SUMIFS(Customer_Care_Tbl[Active - نشط],Customer_Care_Tbl[Date - التاريخ],$A399))</f>
        <v/>
      </c>
      <c r="J399">
        <f>IF($A399&gt;TODAY(),"",SUMIFS(Customer_Care_Tbl[Close - مغلق],Customer_Care_Tbl[Date - التاريخ],$A399))</f>
        <v/>
      </c>
    </row>
    <row r="400">
      <c r="A400">
        <f>A399+1</f>
        <v/>
      </c>
      <c r="B400">
        <f>IF($A400&gt;TODAY(),"",IFERROR(INDEX(Credit_KPIs_Tbl[Total Financing Amount],MATCH($A400,Credit_KPIs_Tbl[Date - التاريخ],0)),""))</f>
        <v/>
      </c>
      <c r="C400">
        <f>IF($A400&gt;TODAY(),"",IFERROR(INDEX(Credit_KPIs_Tbl[Today Financing Amount],MATCH($A400,Credit_KPIs_Tbl[Date - التاريخ],0)),""))</f>
        <v/>
      </c>
      <c r="D400">
        <f>IF($A400&gt;TODAY(),"",IFERROR(INDEX(Credit_KPIs_Tbl[Total Number Contracts],MATCH($A400,Credit_KPIs_Tbl[Date - التاريخ],0)),""))</f>
        <v/>
      </c>
      <c r="E400">
        <f>IF($A400&gt;TODAY(),"",IFERROR(INDEX(Credit_KPIs_Tbl[Cancelled],MATCH($A400,Credit_KPIs_Tbl[Date - التاريخ],0)),""))</f>
        <v/>
      </c>
      <c r="F400">
        <f>IF($A400&gt;TODAY(),"",SUMIFS(Collection_Summary_Tbl[Amount - المبلغ],Collection_Summary_Tbl[Item - البند],"الاجمالي",Collection_Summary_Tbl[Date To - الى],$A400))</f>
        <v/>
      </c>
      <c r="G400">
        <f>IF($A400&gt;TODAY(),"",SUMIFS(Sales_Tbl[Count - العدد],Sales_Tbl[Date - التاريخ],$A400))</f>
        <v/>
      </c>
      <c r="H400">
        <f>IF($A400&gt;TODAY(),"",SUMIFS(Sales_Tbl[Count - العدد],Sales_Tbl[Status - الحالة],"Accepted - تم التنفيذ",Sales_Tbl[Date - التاريخ],$A400))</f>
        <v/>
      </c>
      <c r="I400">
        <f>IF($A400&gt;TODAY(),"",SUMIFS(Customer_Care_Tbl[Active - نشط],Customer_Care_Tbl[Date - التاريخ],$A400))</f>
        <v/>
      </c>
      <c r="J400">
        <f>IF($A400&gt;TODAY(),"",SUMIFS(Customer_Care_Tbl[Close - مغلق],Customer_Care_Tbl[Date - التاريخ],$A400))</f>
        <v/>
      </c>
    </row>
    <row r="401">
      <c r="A401">
        <f>A400+1</f>
        <v/>
      </c>
      <c r="B401">
        <f>IF($A401&gt;TODAY(),"",IFERROR(INDEX(Credit_KPIs_Tbl[Total Financing Amount],MATCH($A401,Credit_KPIs_Tbl[Date - التاريخ],0)),""))</f>
        <v/>
      </c>
      <c r="C401">
        <f>IF($A401&gt;TODAY(),"",IFERROR(INDEX(Credit_KPIs_Tbl[Today Financing Amount],MATCH($A401,Credit_KPIs_Tbl[Date - التاريخ],0)),""))</f>
        <v/>
      </c>
      <c r="D401">
        <f>IF($A401&gt;TODAY(),"",IFERROR(INDEX(Credit_KPIs_Tbl[Total Number Contracts],MATCH($A401,Credit_KPIs_Tbl[Date - التاريخ],0)),""))</f>
        <v/>
      </c>
      <c r="E401">
        <f>IF($A401&gt;TODAY(),"",IFERROR(INDEX(Credit_KPIs_Tbl[Cancelled],MATCH($A401,Credit_KPIs_Tbl[Date - التاريخ],0)),""))</f>
        <v/>
      </c>
      <c r="F401">
        <f>IF($A401&gt;TODAY(),"",SUMIFS(Collection_Summary_Tbl[Amount - المبلغ],Collection_Summary_Tbl[Item - البند],"الاجمالي",Collection_Summary_Tbl[Date To - الى],$A401))</f>
        <v/>
      </c>
      <c r="G401">
        <f>IF($A401&gt;TODAY(),"",SUMIFS(Sales_Tbl[Count - العدد],Sales_Tbl[Date - التاريخ],$A401))</f>
        <v/>
      </c>
      <c r="H401">
        <f>IF($A401&gt;TODAY(),"",SUMIFS(Sales_Tbl[Count - العدد],Sales_Tbl[Status - الحالة],"Accepted - تم التنفيذ",Sales_Tbl[Date - التاريخ],$A401))</f>
        <v/>
      </c>
      <c r="I401">
        <f>IF($A401&gt;TODAY(),"",SUMIFS(Customer_Care_Tbl[Active - نشط],Customer_Care_Tbl[Date - التاريخ],$A401))</f>
        <v/>
      </c>
      <c r="J401">
        <f>IF($A401&gt;TODAY(),"",SUMIFS(Customer_Care_Tbl[Close - مغلق],Customer_Care_Tbl[Date - التاريخ],$A401))</f>
        <v/>
      </c>
    </row>
    <row r="402">
      <c r="A402">
        <f>A401+1</f>
        <v/>
      </c>
      <c r="B402">
        <f>IF($A402&gt;TODAY(),"",IFERROR(INDEX(Credit_KPIs_Tbl[Total Financing Amount],MATCH($A402,Credit_KPIs_Tbl[Date - التاريخ],0)),""))</f>
        <v/>
      </c>
      <c r="C402">
        <f>IF($A402&gt;TODAY(),"",IFERROR(INDEX(Credit_KPIs_Tbl[Today Financing Amount],MATCH($A402,Credit_KPIs_Tbl[Date - التاريخ],0)),""))</f>
        <v/>
      </c>
      <c r="D402">
        <f>IF($A402&gt;TODAY(),"",IFERROR(INDEX(Credit_KPIs_Tbl[Total Number Contracts],MATCH($A402,Credit_KPIs_Tbl[Date - التاريخ],0)),""))</f>
        <v/>
      </c>
      <c r="E402">
        <f>IF($A402&gt;TODAY(),"",IFERROR(INDEX(Credit_KPIs_Tbl[Cancelled],MATCH($A402,Credit_KPIs_Tbl[Date - التاريخ],0)),""))</f>
        <v/>
      </c>
      <c r="F402">
        <f>IF($A402&gt;TODAY(),"",SUMIFS(Collection_Summary_Tbl[Amount - المبلغ],Collection_Summary_Tbl[Item - البند],"الاجمالي",Collection_Summary_Tbl[Date To - الى],$A402))</f>
        <v/>
      </c>
      <c r="G402">
        <f>IF($A402&gt;TODAY(),"",SUMIFS(Sales_Tbl[Count - العدد],Sales_Tbl[Date - التاريخ],$A402))</f>
        <v/>
      </c>
      <c r="H402">
        <f>IF($A402&gt;TODAY(),"",SUMIFS(Sales_Tbl[Count - العدد],Sales_Tbl[Status - الحالة],"Accepted - تم التنفيذ",Sales_Tbl[Date - التاريخ],$A402))</f>
        <v/>
      </c>
      <c r="I402">
        <f>IF($A402&gt;TODAY(),"",SUMIFS(Customer_Care_Tbl[Active - نشط],Customer_Care_Tbl[Date - التاريخ],$A402))</f>
        <v/>
      </c>
      <c r="J402">
        <f>IF($A402&gt;TODAY(),"",SUMIFS(Customer_Care_Tbl[Close - مغلق],Customer_Care_Tbl[Date - التاريخ],$A402))</f>
        <v/>
      </c>
    </row>
    <row r="403">
      <c r="A403" s="41" t="inlineStr">
        <is>
          <t>ملاحظة: النطاق يغطي نحو 13 شهرًا من 2026-09-01. إذا وصل التاريخ لآخر صف، اسحبي الصيغ لأسفل لإضافة صفوف جديدة (Fill Down).</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2026-09-04T13:02:45Z</dcterms:created>
  <dcterms:modified xsi:type="dcterms:W3CDTF">2026-09-06T15:59:55Z</dcterms:modified>
  <cp:revision>0</cp:revision>
</cp:coreProperties>
</file>